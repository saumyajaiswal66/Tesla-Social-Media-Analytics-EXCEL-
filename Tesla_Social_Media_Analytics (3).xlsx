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ea253d9d504ce28/Desktop/Excel Work/"/>
    </mc:Choice>
  </mc:AlternateContent>
  <xr:revisionPtr revIDLastSave="164" documentId="13_ncr:1_{C32CDE0E-C21E-4153-8326-FBF5602AB0BD}" xr6:coauthVersionLast="47" xr6:coauthVersionMax="47" xr10:uidLastSave="{85C773AC-A4C6-4AE1-B47A-4324D6526E96}"/>
  <bookViews>
    <workbookView xWindow="-108" yWindow="-108" windowWidth="23256" windowHeight="12456" tabRatio="900" firstSheet="14" activeTab="17" xr2:uid="{00000000-000D-0000-FFFF-FFFF00000000}"/>
  </bookViews>
  <sheets>
    <sheet name="Frequently Used Hashtags" sheetId="14" r:id="rId1"/>
    <sheet name="Post Performance" sheetId="15" r:id="rId2"/>
    <sheet name="Content Performance" sheetId="16" r:id="rId3"/>
    <sheet name="Engagement uplift during vs. be" sheetId="22" r:id="rId4"/>
    <sheet name=" Conten type PrioritiesPlatform" sheetId="17" r:id="rId5"/>
    <sheet name="Total and Avg Like and Clicks" sheetId="20" r:id="rId6"/>
    <sheet name="Preprocced Data" sheetId="4" r:id="rId7"/>
    <sheet name="Top 10" sheetId="5" r:id="rId8"/>
    <sheet name="Platform and content type like" sheetId="7" r:id="rId9"/>
    <sheet name="Top Hashtags" sheetId="8" r:id="rId10"/>
    <sheet name="Highest Enggagement Rate" sheetId="9" r:id="rId11"/>
    <sheet name="Raw Given Data" sheetId="1" r:id="rId12"/>
    <sheet name="Followers Growth Rate" sheetId="10" r:id="rId13"/>
    <sheet name="Enggagement Rate Vs Ad.Spend" sheetId="11" r:id="rId14"/>
    <sheet name="Weekly follower growth per plat" sheetId="23" r:id="rId15"/>
    <sheet name="ad.spend Vs weekly growth" sheetId="26" r:id="rId16"/>
    <sheet name="Engagement Summary" sheetId="2" r:id="rId17"/>
    <sheet name="Sheet7" sheetId="31" r:id="rId18"/>
    <sheet name="Campaign Metadata (2)" sheetId="12" r:id="rId19"/>
    <sheet name="Campaign Metadata" sheetId="3" r:id="rId20"/>
  </sheets>
  <calcPr calcId="191029"/>
  <pivotCaches>
    <pivotCache cacheId="19" r:id="rId21"/>
    <pivotCache cacheId="2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1" l="1"/>
  <c r="F4" i="31"/>
  <c r="E4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" i="31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A201" i="31"/>
  <c r="A2" i="3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" i="22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" i="26"/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" i="2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262AA-A04C-425E-887B-4CCA73279688}" keepAlive="1" name="Query - Campaign Metadata" description="Connection to the 'Campaign Metadata' query in the workbook." type="5" refreshedVersion="0" background="1">
    <dbPr connection="Provider=Microsoft.Mashup.OleDb.1;Data Source=$Workbook$;Location=&quot;Campaign Metadata&quot;;Extended Properties=&quot;&quot;" command="SELECT * FROM [Campaign Metadata]"/>
  </connection>
  <connection id="2" xr16:uid="{9146C054-400E-4C38-B1BF-BD8E52100D69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<sst xmlns="http://schemas.openxmlformats.org/spreadsheetml/2006/main" count="4706" uniqueCount="653">
  <si>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</si>
  <si>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</si>
  <si>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</si>
  <si>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</si>
  <si>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</si>
  <si>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</si>
  <si>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</si>
  <si>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</si>
  <si>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</si>
  <si>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</si>
  <si>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</si>
  <si>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</si>
  <si>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</si>
  <si>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</si>
  <si>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</si>
  <si>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</si>
  <si>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</si>
  <si>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</si>
  <si>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</si>
  <si>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</si>
  <si>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</si>
  <si>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</si>
  <si>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</si>
  <si>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</si>
  <si>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</si>
  <si>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</si>
  <si>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</si>
  <si>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</si>
  <si>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</si>
  <si>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</si>
  <si>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</si>
  <si>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</si>
  <si>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</si>
  <si>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</si>
  <si>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</si>
  <si>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</si>
  <si>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</si>
  <si>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</si>
  <si>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</si>
  <si>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</si>
  <si>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</si>
  <si>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</si>
  <si>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</si>
  <si>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</si>
  <si>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</si>
  <si>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</si>
  <si>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</si>
  <si>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</si>
  <si>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</si>
  <si>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</si>
  <si>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</si>
  <si>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</si>
  <si>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</si>
  <si>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</si>
  <si>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</si>
  <si>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</si>
  <si>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</si>
  <si>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</si>
  <si>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</si>
  <si>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</si>
  <si>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</si>
  <si>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</si>
  <si>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</si>
  <si>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</si>
  <si>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</si>
  <si>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</si>
  <si>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</si>
  <si>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</si>
  <si>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</si>
  <si>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</si>
  <si>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</si>
  <si>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</si>
  <si>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</si>
  <si>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</si>
  <si>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</si>
  <si>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</si>
  <si>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</si>
  <si>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</si>
  <si>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</si>
  <si>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</si>
  <si>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</si>
  <si>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</si>
  <si>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</si>
  <si>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</si>
  <si>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</si>
  <si>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</si>
  <si>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</si>
  <si>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</si>
  <si>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</si>
  <si>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</si>
  <si>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</si>
  <si>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</si>
  <si>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</si>
  <si>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</si>
  <si>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</si>
  <si>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</si>
  <si>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</si>
  <si>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</si>
  <si>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</si>
  <si>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</si>
  <si>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</si>
  <si>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</si>
  <si>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</si>
  <si>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</si>
  <si>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</si>
  <si>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</si>
  <si>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</si>
  <si>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</si>
  <si>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</si>
  <si>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</si>
  <si>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</si>
  <si>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</si>
  <si>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</si>
  <si>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</si>
  <si>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</si>
  <si>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</si>
  <si>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</si>
  <si>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</si>
  <si>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</si>
  <si>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</si>
  <si>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</si>
  <si>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</si>
  <si>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</si>
  <si>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</si>
  <si>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</si>
  <si>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</si>
  <si>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</si>
  <si>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</si>
  <si>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</si>
  <si>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</si>
  <si>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</si>
  <si>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</si>
  <si>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</si>
  <si>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</si>
  <si>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</si>
  <si>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</si>
  <si>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</si>
  <si>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</si>
  <si>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</si>
  <si>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</si>
  <si>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</si>
  <si>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</si>
  <si>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</si>
  <si>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</si>
  <si>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</si>
  <si>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</si>
  <si>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</si>
  <si>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</si>
  <si>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</si>
  <si>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</si>
  <si>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</si>
  <si>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</si>
  <si>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</si>
  <si>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</si>
  <si>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</si>
  <si>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</si>
  <si>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</si>
  <si>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</si>
  <si>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</si>
  <si>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</si>
  <si>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</si>
  <si>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</si>
  <si>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</si>
  <si>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</si>
  <si>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</si>
  <si>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</si>
  <si>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</si>
  <si>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</si>
  <si>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</si>
  <si>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</si>
  <si>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</si>
  <si>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</si>
  <si>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</si>
  <si>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</si>
  <si>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</si>
  <si>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</si>
  <si>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</si>
  <si>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</si>
  <si>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</si>
  <si>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</si>
  <si>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</si>
  <si>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</si>
  <si>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</si>
  <si>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</si>
  <si>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</si>
  <si>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</si>
  <si>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</si>
  <si>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</si>
  <si>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</si>
  <si>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</si>
  <si>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</si>
  <si>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</si>
  <si>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</si>
  <si>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</si>
  <si>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</si>
  <si>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</si>
  <si>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</si>
  <si>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</si>
  <si>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</si>
  <si>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</si>
  <si>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</si>
  <si>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</si>
  <si>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</si>
  <si>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</si>
  <si>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</si>
  <si>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</si>
  <si>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</si>
  <si>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</si>
  <si>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</si>
  <si>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</si>
  <si>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</si>
  <si>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</si>
  <si>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</si>
  <si>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</si>
  <si>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</si>
  <si>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</si>
  <si>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</si>
  <si>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</si>
  <si>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</si>
  <si>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</si>
  <si>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</si>
  <si>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</si>
  <si>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</si>
  <si>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</si>
  <si>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</si>
  <si>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</si>
  <si>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</si>
  <si>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</si>
  <si>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</si>
  <si>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</si>
  <si>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</si>
  <si>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</si>
  <si>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</si>
  <si>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</si>
  <si>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</si>
  <si>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</si>
  <si>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</si>
  <si>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</si>
  <si>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</si>
  <si>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</si>
  <si>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</si>
  <si>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</si>
  <si>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</si>
  <si>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</si>
  <si>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</si>
  <si>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</si>
  <si>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</si>
  <si>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</si>
  <si>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</si>
  <si>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</si>
  <si>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</si>
  <si>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</si>
  <si>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</si>
  <si>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</si>
  <si>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</si>
  <si>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</si>
  <si>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</si>
  <si>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</si>
  <si>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</si>
  <si>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</si>
  <si>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</si>
  <si>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</si>
  <si>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</si>
  <si>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</si>
  <si>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</si>
  <si>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</si>
  <si>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</si>
  <si>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</si>
  <si>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</si>
  <si>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</si>
  <si>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</si>
  <si>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</si>
  <si>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</si>
  <si>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</si>
  <si>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</si>
  <si>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</si>
  <si>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</si>
  <si>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</si>
  <si>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</si>
  <si>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</si>
  <si>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</si>
  <si>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</si>
  <si>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</si>
  <si>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</si>
  <si>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</si>
  <si>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</si>
  <si>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</si>
  <si>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</si>
  <si>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</si>
  <si>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</si>
  <si>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</si>
  <si>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</si>
  <si>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</si>
  <si>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</si>
  <si>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</si>
  <si>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</si>
  <si>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</si>
  <si>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</si>
  <si>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</si>
  <si>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</si>
  <si>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</si>
  <si>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</si>
  <si>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</si>
  <si>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</si>
  <si>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</si>
  <si>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</si>
  <si>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</si>
  <si>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</si>
  <si>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</si>
  <si>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</si>
  <si>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</si>
  <si>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</si>
  <si>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</si>
  <si>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</si>
  <si>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</si>
  <si>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</si>
  <si>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</si>
  <si>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</si>
  <si>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</si>
  <si>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</si>
  <si>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</si>
  <si>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</si>
  <si>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</si>
  <si>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</si>
  <si>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</si>
  <si>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</si>
  <si>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</si>
  <si>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</si>
  <si>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</si>
  <si>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</si>
  <si>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</si>
  <si>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</si>
  <si>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</si>
  <si>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</si>
  <si>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</si>
  <si>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</si>
  <si>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</si>
  <si>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</si>
  <si>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</si>
  <si>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</si>
  <si>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</si>
  <si>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</si>
  <si>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</si>
  <si>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</si>
  <si>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</si>
  <si>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</si>
  <si>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</si>
  <si>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</si>
  <si>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</si>
  <si>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</si>
  <si>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</si>
  <si>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</si>
  <si>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</si>
  <si>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</si>
  <si>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</si>
  <si>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</si>
  <si>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</si>
  <si>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</si>
  <si>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</si>
  <si>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</si>
  <si>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</si>
  <si>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</si>
  <si>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</si>
  <si>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</si>
  <si>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</si>
  <si>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</si>
  <si>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</si>
  <si>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</si>
  <si>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</si>
  <si>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</si>
  <si>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</si>
  <si>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</si>
  <si>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</si>
  <si>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</si>
  <si>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</si>
  <si>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</si>
  <si>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</si>
  <si>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</si>
  <si>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</si>
  <si>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</si>
  <si>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</si>
  <si>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</si>
  <si>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</si>
  <si>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</si>
  <si>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</si>
  <si>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</si>
  <si>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</si>
  <si>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</si>
  <si>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</si>
  <si>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</si>
  <si>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</si>
  <si>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</si>
  <si>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</si>
  <si>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</si>
  <si>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</si>
  <si>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</si>
  <si>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</si>
  <si>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</si>
  <si>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</si>
  <si>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</si>
  <si>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</si>
  <si>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</si>
  <si>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</si>
  <si>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</si>
  <si>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</si>
  <si>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</si>
  <si>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</si>
  <si>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</si>
  <si>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</si>
  <si>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</si>
  <si>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</si>
  <si>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</si>
  <si>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</si>
  <si>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</si>
  <si>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</si>
  <si>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</si>
  <si>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</si>
  <si>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</si>
  <si>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</si>
  <si>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</si>
  <si>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</si>
  <si>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</si>
  <si>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</si>
  <si>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</si>
  <si>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</si>
  <si>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</si>
  <si>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</si>
  <si>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</si>
  <si>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</si>
  <si>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</si>
  <si>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</si>
  <si>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</si>
  <si>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</si>
  <si>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</si>
  <si>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</si>
  <si>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</si>
  <si>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</si>
  <si>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</si>
  <si>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</si>
  <si>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</si>
  <si>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</si>
  <si>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</si>
  <si>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</si>
  <si>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</si>
  <si>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</si>
  <si>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</si>
  <si>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</si>
  <si>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</si>
  <si>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</si>
  <si>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</si>
  <si>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</si>
  <si>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</si>
  <si>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</si>
  <si>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</si>
  <si>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</si>
  <si>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</si>
  <si>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</si>
  <si>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</si>
  <si>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</si>
  <si>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</si>
  <si>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</si>
  <si>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</si>
  <si>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</si>
  <si>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</si>
  <si>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</si>
  <si>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</si>
  <si>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</si>
  <si>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</si>
  <si>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</si>
  <si>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</si>
  <si>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</si>
  <si>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</si>
  <si>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</si>
  <si>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</si>
  <si>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</si>
  <si>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</si>
  <si>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</si>
  <si>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</si>
  <si>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</si>
  <si>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</si>
  <si>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</si>
  <si>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</si>
  <si>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</si>
  <si>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</si>
  <si>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</si>
  <si>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</si>
  <si>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</si>
  <si>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</si>
  <si>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</si>
  <si>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</si>
  <si>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</si>
  <si>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</si>
  <si>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</si>
  <si>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</si>
  <si>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</si>
  <si>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</si>
  <si>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</si>
  <si>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</si>
  <si>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</si>
  <si>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</si>
  <si>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</si>
  <si>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</si>
  <si>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</si>
  <si>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</si>
  <si>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</si>
  <si>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</si>
  <si>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</si>
  <si>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</si>
  <si>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</si>
  <si>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</si>
  <si>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</si>
  <si>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</si>
  <si>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</si>
  <si>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</si>
  <si>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</si>
  <si>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</si>
  <si>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</si>
  <si>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</si>
  <si>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</si>
  <si>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</si>
  <si>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</si>
  <si>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</si>
  <si>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</si>
  <si>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</si>
  <si>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</si>
  <si>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</si>
  <si>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</si>
  <si>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</si>
  <si>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</si>
  <si>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</si>
  <si>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</si>
  <si>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</si>
  <si>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</si>
  <si>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</si>
  <si>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</si>
  <si>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</si>
  <si>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</si>
  <si>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</si>
  <si>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</si>
  <si>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</si>
  <si>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</si>
  <si>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</si>
  <si>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</si>
  <si>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</si>
  <si>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</si>
  <si>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</si>
  <si>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</si>
  <si>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</si>
  <si>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</si>
  <si>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</si>
  <si>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</si>
  <si>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</si>
  <si>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</si>
  <si>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</si>
  <si>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</si>
  <si>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</si>
  <si>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</si>
  <si>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</si>
  <si>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</si>
  <si>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</si>
  <si>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</si>
  <si>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</si>
  <si>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</si>
  <si>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</si>
  <si>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</si>
  <si>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</si>
  <si>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</si>
  <si>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</si>
  <si>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</si>
  <si>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</si>
  <si>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</si>
  <si>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</si>
  <si>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</si>
  <si>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</si>
  <si>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</si>
  <si>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</si>
  <si>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</si>
  <si>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</si>
  <si>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</si>
  <si>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</si>
  <si>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</si>
  <si>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</si>
  <si>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</si>
  <si>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</si>
  <si>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</si>
  <si>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</si>
  <si>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</si>
  <si>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</si>
  <si>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</si>
  <si>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</si>
  <si>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</si>
  <si>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</si>
  <si>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</si>
  <si>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</si>
  <si>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</si>
  <si>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</si>
  <si>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</si>
  <si>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</si>
  <si>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</si>
  <si>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</si>
  <si>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</si>
  <si>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</si>
  <si>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</si>
  <si>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</si>
  <si>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</si>
  <si>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</si>
  <si>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</si>
  <si>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</si>
  <si>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</si>
  <si>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</si>
  <si>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</si>
  <si>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</si>
  <si>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Enggagement Rate</t>
  </si>
  <si>
    <t>Row Labels</t>
  </si>
  <si>
    <t>Grand Total</t>
  </si>
  <si>
    <t>Sum of Enggagement Rate</t>
  </si>
  <si>
    <t>Sum of Likes</t>
  </si>
  <si>
    <t>Sum of Shares</t>
  </si>
  <si>
    <t>Sum of Comments</t>
  </si>
  <si>
    <t>Count of Post ID</t>
  </si>
  <si>
    <t>Old_followers</t>
  </si>
  <si>
    <t>Growth Rate</t>
  </si>
  <si>
    <t>Sum of Growth Rate</t>
  </si>
  <si>
    <t>Sum of Ad_Spend</t>
  </si>
  <si>
    <t>Sum of Engagement_Rate</t>
  </si>
  <si>
    <t>#AnytimeIsTeslaTime</t>
  </si>
  <si>
    <t>#BetterWithTesla</t>
  </si>
  <si>
    <t>2024</t>
  </si>
  <si>
    <t>2025</t>
  </si>
  <si>
    <t>Count of Hashtags Used</t>
  </si>
  <si>
    <t>Column Labels</t>
  </si>
  <si>
    <t>Average of Enggagement Rate</t>
  </si>
  <si>
    <t>Count of Content Type</t>
  </si>
  <si>
    <t>Sum of Clicks</t>
  </si>
  <si>
    <t>Sum of Likes2</t>
  </si>
  <si>
    <t>Sum of Impressions2</t>
  </si>
  <si>
    <t>Average of Impressions</t>
  </si>
  <si>
    <t>Average of Clicks2</t>
  </si>
  <si>
    <t>Average of Likes</t>
  </si>
  <si>
    <t>Period of Enggagement</t>
  </si>
  <si>
    <t>2024-07-01 Sum</t>
  </si>
  <si>
    <t>2024-07-08 Sum</t>
  </si>
  <si>
    <t>2024-07-15 Sum</t>
  </si>
  <si>
    <t>2024-07-22 Sum</t>
  </si>
  <si>
    <t>2024-07-29 Sum</t>
  </si>
  <si>
    <t>Sum of New_Followers</t>
  </si>
  <si>
    <t>Weekly followers growth</t>
  </si>
  <si>
    <t xml:space="preserve"> uplift before Campaign</t>
  </si>
  <si>
    <t>uplift duringcampaign</t>
  </si>
  <si>
    <t>weekly growth</t>
  </si>
  <si>
    <t>Identify the peak week of follower gain.</t>
  </si>
  <si>
    <t>maximum followers</t>
  </si>
  <si>
    <t>Platform which gain maximum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</si>
</sst>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3" xfId="0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2" xfId="0" applyBorder="1"/>
    <xf numFmtId="14" fontId="0" fillId="0" borderId="3" xfId="0" applyNumberFormat="1" applyBorder="1"/>
    <xf numFmtId="10" fontId="0" fillId="3" borderId="6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4" fillId="4" borderId="7" xfId="0" applyFont="1" applyFill="1" applyBorder="1" applyAlignment="1">
      <alignment horizontal="center" vertical="top"/>
    </xf>
    <xf numFmtId="0" fontId="1" fillId="5" borderId="8" xfId="0" applyFont="1" applyFill="1" applyBorder="1"/>
    <xf numFmtId="0" fontId="2" fillId="4" borderId="9" xfId="0" applyFont="1" applyFill="1" applyBorder="1" applyAlignment="1">
      <alignment horizontal="center" vertical="top"/>
    </xf>
    <xf numFmtId="10" fontId="1" fillId="5" borderId="8" xfId="1" applyNumberFormat="1" applyFont="1" applyFill="1" applyBorder="1"/>
    <xf numFmtId="0" fontId="1" fillId="6" borderId="8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1" fillId="7" borderId="4" xfId="0" applyFont="1" applyFill="1" applyBorder="1"/>
    <xf numFmtId="14" fontId="1" fillId="7" borderId="5" xfId="0" applyNumberFormat="1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5" borderId="4" xfId="0" applyFont="1" applyFill="1" applyBorder="1"/>
    <xf numFmtId="14" fontId="1" fillId="5" borderId="5" xfId="0" applyNumberFormat="1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14" fontId="1" fillId="5" borderId="3" xfId="0" applyNumberFormat="1" applyFont="1" applyFill="1" applyBorder="1"/>
    <xf numFmtId="0" fontId="1" fillId="5" borderId="3" xfId="0" applyFont="1" applyFill="1" applyBorder="1"/>
    <xf numFmtId="0" fontId="1" fillId="5" borderId="10" xfId="0" applyFont="1" applyFill="1" applyBorder="1"/>
    <xf numFmtId="0" fontId="0" fillId="0" borderId="8" xfId="0" applyBorder="1"/>
    <xf numFmtId="1" fontId="0" fillId="0" borderId="0" xfId="0" applyNumberFormat="1"/>
    <xf numFmtId="0" fontId="6" fillId="2" borderId="0" xfId="0" applyFont="1" applyFill="1"/>
    <xf numFmtId="0" fontId="4" fillId="4" borderId="0" xfId="0" applyFont="1" applyFill="1"/>
    <xf numFmtId="0" fontId="0" fillId="5" borderId="8" xfId="0" applyFill="1" applyBorder="1"/>
    <xf numFmtId="0" fontId="6" fillId="2" borderId="0" xfId="0" applyFont="1" applyFill="1" applyBorder="1"/>
    <xf numFmtId="10" fontId="0" fillId="0" borderId="0" xfId="1" applyNumberFormat="1" applyFont="1"/>
    <xf numFmtId="0" fontId="0" fillId="8" borderId="0" xfId="0" applyFill="1"/>
    <xf numFmtId="0" fontId="0" fillId="9" borderId="0" xfId="0" applyFill="1"/>
  </cellXfs>
  <cellStyles count="2">
    <cellStyle name="Normal" xfId="0" builtinId="0"/>
    <cellStyle name="Percent" xfId="1" builtinId="5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(3).xlsx]Frequently Used Hashtags!PivotTable2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Frequently</a:t>
            </a:r>
            <a:r>
              <a:rPr lang="en-IN" baseline="0"/>
              <a:t> used Hashtags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9663865898551817"/>
          <c:y val="5.181347150259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'Frequently Used Hashtags'!$B$3:$B$4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'Frequently Used Hashtags'!$A$5:$A$8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'Frequently Used Hashtags'!$B$5:$B$8</c:f>
              <c:numCache>
                <c:formatCode>General</c:formatCode>
                <c:ptCount val="3"/>
                <c:pt idx="0">
                  <c:v>55</c:v>
                </c:pt>
                <c:pt idx="1">
                  <c:v>55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B-46FD-AE65-48F70AA222EF}"/>
            </c:ext>
          </c:extLst>
        </c:ser>
        <c:ser>
          <c:idx val="1"/>
          <c:order val="1"/>
          <c:tx>
            <c:strRef>
              <c:f>'Frequently Used Hashtags'!$C$3:$C$4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'Frequently Used Hashtags'!$A$5:$A$8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'Frequently Used Hashtags'!$C$5:$C$8</c:f>
              <c:numCache>
                <c:formatCode>General</c:formatCode>
                <c:ptCount val="3"/>
                <c:pt idx="0">
                  <c:v>23</c:v>
                </c:pt>
                <c:pt idx="1">
                  <c:v>29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B-46FD-AE65-48F70AA222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1838368"/>
        <c:axId val="1021837408"/>
      </c:barChart>
      <c:catAx>
        <c:axId val="10218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37408"/>
        <c:crosses val="autoZero"/>
        <c:auto val="1"/>
        <c:lblAlgn val="ctr"/>
        <c:lblOffset val="100"/>
        <c:noMultiLvlLbl val="0"/>
      </c:catAx>
      <c:valAx>
        <c:axId val="10218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(3).xlsx]Post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Performnace of the Post</a:t>
            </a:r>
            <a:r>
              <a:rPr lang="en-IN" baseline="0"/>
              <a:t>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9579412329556364"/>
          <c:y val="2.9914529914529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2539086929331404E-3"/>
              <c:y val="-8.54700854700854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142589118198873E-2"/>
              <c:y val="8.5470085470085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507817385866052E-2"/>
              <c:y val="-3.917333664006151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6904315196998239E-2"/>
              <c:y val="8.54700854700854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142589118198905E-2"/>
              <c:y val="8.54700854700846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53963526579904"/>
          <c:y val="0.28808768200552876"/>
          <c:w val="0.66432262857638658"/>
          <c:h val="0.44021638630398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'Post Performance'!$B$3:$B$4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B-2A53-4D0F-976C-07715960E9A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8-2A53-4D0F-976C-07715960E9A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A-2A53-4D0F-976C-07715960E9AC}"/>
              </c:ext>
            </c:extLst>
          </c:dPt>
          <c:dLbls>
            <c:dLbl>
              <c:idx val="0"/>
              <c:layout>
                <c:manualLayout>
                  <c:x val="-2.8142589118198905E-2"/>
                  <c:y val="8.54700854700846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2A53-4D0F-976C-07715960E9AC}"/>
                </c:ext>
              </c:extLst>
            </c:dLbl>
            <c:dLbl>
              <c:idx val="1"/>
              <c:layout>
                <c:manualLayout>
                  <c:x val="-2.8142589118198873E-2"/>
                  <c:y val="8.5470085470085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2A53-4D0F-976C-07715960E9AC}"/>
                </c:ext>
              </c:extLst>
            </c:dLbl>
            <c:dLbl>
              <c:idx val="2"/>
              <c:layout>
                <c:manualLayout>
                  <c:x val="-4.6904315196998239E-2"/>
                  <c:y val="8.54700854700854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2A53-4D0F-976C-07715960E9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'Post Performance'!$A$5:$A$7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'Post Performance'!$B$5:$B$7</c:f>
              <c:numCache>
                <c:formatCode>0.00%</c:formatCode>
                <c:ptCount val="3"/>
                <c:pt idx="0">
                  <c:v>0.9049586619753146</c:v>
                </c:pt>
                <c:pt idx="1">
                  <c:v>0.90915316684751435</c:v>
                </c:pt>
                <c:pt idx="2">
                  <c:v>1.024985070641125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3-4D0F-976C-07715960E9AC}"/>
            </c:ext>
          </c:extLst>
        </c:ser>
        <c:ser>
          <c:idx val="1"/>
          <c:order val="1"/>
          <c:tx>
            <c:strRef>
              <c:f>'Post Performance'!$C$3:$C$4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7-2A53-4D0F-976C-07715960E9A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F9-2A53-4D0F-976C-07715960E9AC}"/>
              </c:ext>
            </c:extLst>
          </c:dPt>
          <c:dLbls>
            <c:dLbl>
              <c:idx val="1"/>
              <c:layout>
                <c:manualLayout>
                  <c:x val="6.2539086929331404E-3"/>
                  <c:y val="-8.54700854700854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2A53-4D0F-976C-07715960E9AC}"/>
                </c:ext>
              </c:extLst>
            </c:dLbl>
            <c:dLbl>
              <c:idx val="2"/>
              <c:layout>
                <c:manualLayout>
                  <c:x val="1.2507817385866052E-2"/>
                  <c:y val="-3.917333664006151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2A53-4D0F-976C-07715960E9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'Post Performance'!$A$5:$A$7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'Post Performance'!$C$5:$C$7</c:f>
              <c:numCache>
                <c:formatCode>0.00%</c:formatCode>
                <c:ptCount val="3"/>
                <c:pt idx="0">
                  <c:v>1.0979895229228862</c:v>
                </c:pt>
                <c:pt idx="1">
                  <c:v>1.1280848695182306</c:v>
                </c:pt>
                <c:pt idx="2">
                  <c:v>1.0898925229622158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3-4D0F-976C-07715960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1747648"/>
        <c:axId val="1021752928"/>
      </c:barChart>
      <c:catAx>
        <c:axId val="10217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52928"/>
        <c:crosses val="autoZero"/>
        <c:auto val="1"/>
        <c:lblAlgn val="ctr"/>
        <c:lblOffset val="100"/>
        <c:noMultiLvlLbl val="0"/>
      </c:catAx>
      <c:valAx>
        <c:axId val="102175292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(3).xlsx]Content Performance!PivotTable4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</a:t>
            </a:r>
            <a:r>
              <a:rPr lang="en-US" baseline="0"/>
              <a:t> Performance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2102209098862644"/>
          <c:y val="0.28473461650627002"/>
          <c:w val="0.35240048118985129"/>
          <c:h val="0.58733413531641876"/>
        </c:manualLayout>
      </c:layout>
      <c:pieChart>
        <c:varyColors val="1"/>
        <c:ser>
          <c:idx val="0"/>
          <c:order val="0"/>
          <c:tx>
            <c:strRef>
              <c:f>'Content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BD-4082-B588-264BB29544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BD-4082-B588-264BB29544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BD-4082-B588-264BB29544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BD-4082-B588-264BB29544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BD-4082-B588-264BB29544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BD-4082-B588-264BB29544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'Content Performance'!$A$4:$A$10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'Content Performance'!$B$4:$B$10</c:f>
              <c:numCache>
                <c:formatCode>0.00%</c:formatCode>
                <c:ptCount val="6"/>
                <c:pt idx="0">
                  <c:v>0.20778854150704329</c:v>
                </c:pt>
                <c:pt idx="1">
                  <c:v>0.2147740827143699</c:v>
                </c:pt>
                <c:pt idx="2">
                  <c:v>0.17442787291957879</c:v>
                </c:pt>
                <c:pt idx="3">
                  <c:v>0.14857752207960509</c:v>
                </c:pt>
                <c:pt idx="4">
                  <c:v>0.108833344659088</c:v>
                </c:pt>
                <c:pt idx="5">
                  <c:v>0.14559863612031484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C-4F37-99BC-2E1B2659191D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23162729658777"/>
          <c:y val="0.15261410032079326"/>
          <c:w val="0.13243503937007875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 Conten type PrioritiesPlatform!PivotTable5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Content type priorities per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Conten type PrioritiesPlatform'!$B$3:$B$4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 type PrioritiesPlatform'!$A$5:$A$10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 Conten type PrioritiesPlatform'!$B$5:$B$10</c:f>
              <c:numCache>
                <c:formatCode>General</c:formatCode>
                <c:ptCount val="6"/>
                <c:pt idx="0">
                  <c:v>12</c:v>
                </c:pt>
                <c:pt idx="1">
                  <c:v>23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6-4E5C-8892-DA95C578E025}"/>
            </c:ext>
          </c:extLst>
        </c:ser>
        <c:ser>
          <c:idx val="1"/>
          <c:order val="1"/>
          <c:tx>
            <c:strRef>
              <c:f>' Conten type PrioritiesPlatform'!$C$3:$C$4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 type PrioritiesPlatform'!$A$5:$A$10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 Conten type PrioritiesPlatform'!$C$5:$C$10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6-4E5C-8892-DA95C578E0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8096608"/>
        <c:axId val="1288093248"/>
      </c:barChart>
      <c:lineChart>
        <c:grouping val="standard"/>
        <c:varyColors val="0"/>
        <c:ser>
          <c:idx val="2"/>
          <c:order val="2"/>
          <c:tx>
            <c:strRef>
              <c:f>' Conten type PrioritiesPlatform'!$D$3:$D$4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 type PrioritiesPlatform'!$A$5:$A$10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 Conten type PrioritiesPlatform'!$D$5:$D$10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6-4E5C-8892-DA95C578E025}"/>
            </c:ext>
          </c:extLst>
        </c:ser>
        <c:ser>
          <c:idx val="3"/>
          <c:order val="3"/>
          <c:tx>
            <c:strRef>
              <c:f>' Conten type PrioritiesPlatform'!$E$3:$E$4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 type PrioritiesPlatform'!$A$5:$A$10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 Conten type PrioritiesPlatform'!$E$5:$E$10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B6-4E5C-8892-DA95C578E0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8096608"/>
        <c:axId val="1288093248"/>
      </c:lineChart>
      <c:catAx>
        <c:axId val="128809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93248"/>
        <c:crosses val="autoZero"/>
        <c:auto val="1"/>
        <c:lblAlgn val="ctr"/>
        <c:lblOffset val="100"/>
        <c:noMultiLvlLbl val="0"/>
      </c:catAx>
      <c:valAx>
        <c:axId val="128809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(3).xlsx]Total and Avg Like and Clicks!PivotTable8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&amp; Average Impressions, Likes, Clicks per Campaign.</a:t>
            </a:r>
            <a:endParaRPr lang="en-IN"/>
          </a:p>
        </c:rich>
      </c:tx>
      <c:layout>
        <c:manualLayout>
          <c:xMode val="edge"/>
          <c:yMode val="edge"/>
          <c:x val="0.22746423990690484"/>
          <c:y val="0.12552301255230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122303309647272E-2"/>
          <c:y val="5.7845263919016628E-2"/>
          <c:w val="0.70451011458933488"/>
          <c:h val="0.87636201114773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and Avg Like and Clicks'!$B$3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Clicks'!$B$4:$B$7</c:f>
              <c:numCache>
                <c:formatCode>General</c:formatCode>
                <c:ptCount val="4"/>
                <c:pt idx="0">
                  <c:v>38464</c:v>
                </c:pt>
                <c:pt idx="1">
                  <c:v>33821.686567164179</c:v>
                </c:pt>
                <c:pt idx="2">
                  <c:v>34247.517241379312</c:v>
                </c:pt>
                <c:pt idx="3">
                  <c:v>34716.394366197186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F-4371-8BE2-901DB4A1CA12}"/>
            </c:ext>
          </c:extLst>
        </c:ser>
        <c:ser>
          <c:idx val="1"/>
          <c:order val="1"/>
          <c:tx>
            <c:strRef>
              <c:f>'Total and Avg Like and Clicks'!$C$3</c:f>
              <c:strCache>
                <c:ptCount val="1"/>
                <c:pt idx="0">
                  <c:v>Average of Clicks2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Clicks'!$C$4:$C$7</c:f>
              <c:numCache>
                <c:formatCode>0</c:formatCode>
                <c:ptCount val="4"/>
                <c:pt idx="0">
                  <c:v>134.04166666666666</c:v>
                </c:pt>
                <c:pt idx="1">
                  <c:v>149.73134328358208</c:v>
                </c:pt>
                <c:pt idx="2">
                  <c:v>170.20689655172413</c:v>
                </c:pt>
                <c:pt idx="3">
                  <c:v>150.54929577464787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F-4371-8BE2-901DB4A1CA12}"/>
            </c:ext>
          </c:extLst>
        </c:ser>
        <c:ser>
          <c:idx val="2"/>
          <c:order val="2"/>
          <c:tx>
            <c:strRef>
              <c:f>'Total and Avg Like and Clicks'!$D$3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Clicks'!$D$4:$D$7</c:f>
              <c:numCache>
                <c:formatCode>0</c:formatCode>
                <c:ptCount val="4"/>
                <c:pt idx="0">
                  <c:v>2891.5208333333335</c:v>
                </c:pt>
                <c:pt idx="1">
                  <c:v>2736.5074626865671</c:v>
                </c:pt>
                <c:pt idx="2">
                  <c:v>2754.8793103448274</c:v>
                </c:pt>
                <c:pt idx="3">
                  <c:v>2646.605633802817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F-4371-8BE2-901DB4A1CA12}"/>
            </c:ext>
          </c:extLst>
        </c:ser>
        <c:ser>
          <c:idx val="3"/>
          <c:order val="3"/>
          <c:tx>
            <c:strRef>
              <c:f>'Total and Avg Like and Clicks'!$E$3</c:f>
              <c:strCache>
                <c:ptCount val="1"/>
                <c:pt idx="0">
                  <c:v>Sum of Likes2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Clicks'!$E$4:$E$7</c:f>
              <c:numCache>
                <c:formatCode>General</c:formatCode>
                <c:ptCount val="4"/>
                <c:pt idx="0">
                  <c:v>138793</c:v>
                </c:pt>
                <c:pt idx="1">
                  <c:v>183346</c:v>
                </c:pt>
                <c:pt idx="2">
                  <c:v>159783</c:v>
                </c:pt>
                <c:pt idx="3">
                  <c:v>187909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6F-4371-8BE2-901DB4A1CA12}"/>
            </c:ext>
          </c:extLst>
        </c:ser>
        <c:ser>
          <c:idx val="4"/>
          <c:order val="4"/>
          <c:tx>
            <c:strRef>
              <c:f>'Total and Avg Like and Clicks'!$F$3</c:f>
              <c:strCache>
                <c:ptCount val="1"/>
                <c:pt idx="0">
                  <c:v>Sum of Impressions2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Clicks'!$F$4:$F$7</c:f>
              <c:numCache>
                <c:formatCode>General</c:formatCode>
                <c:ptCount val="4"/>
                <c:pt idx="0">
                  <c:v>1846272</c:v>
                </c:pt>
                <c:pt idx="1">
                  <c:v>2266053</c:v>
                </c:pt>
                <c:pt idx="2">
                  <c:v>1986356</c:v>
                </c:pt>
                <c:pt idx="3">
                  <c:v>2464864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6F-4371-8BE2-901DB4A1CA12}"/>
            </c:ext>
          </c:extLst>
        </c:ser>
        <c:ser>
          <c:idx val="5"/>
          <c:order val="5"/>
          <c:tx>
            <c:strRef>
              <c:f>'Total and Avg Like and Clicks'!$G$3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and Avg Like and Clicks'!$A$4:$A$7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'Total and Avg Like and Clicks'!$G$4:$G$7</c:f>
              <c:numCache>
                <c:formatCode>General</c:formatCode>
                <c:ptCount val="4"/>
                <c:pt idx="0">
                  <c:v>6434</c:v>
                </c:pt>
                <c:pt idx="1">
                  <c:v>10032</c:v>
                </c:pt>
                <c:pt idx="2">
                  <c:v>9872</c:v>
                </c:pt>
                <c:pt idx="3">
                  <c:v>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6F-4371-8BE2-901DB4A1C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8081728"/>
        <c:axId val="1288069248"/>
      </c:barChart>
      <c:catAx>
        <c:axId val="12880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69248"/>
        <c:crosses val="autoZero"/>
        <c:auto val="1"/>
        <c:lblAlgn val="ctr"/>
        <c:lblOffset val="100"/>
        <c:noMultiLvlLbl val="0"/>
      </c:catAx>
      <c:valAx>
        <c:axId val="12880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8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(3).xlsx]Top 10!PivotTable2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Post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10'!$A$4:$A$13</c:f>
              <c:strCache>
                <c:ptCount val="10"/>
                <c:pt idx="0">
                  <c:v>P058</c:v>
                </c:pt>
                <c:pt idx="1">
                  <c:v>P232</c:v>
                </c:pt>
                <c:pt idx="2">
                  <c:v>P178</c:v>
                </c:pt>
                <c:pt idx="3">
                  <c:v>P175</c:v>
                </c:pt>
                <c:pt idx="4">
                  <c:v>P062</c:v>
                </c:pt>
                <c:pt idx="5">
                  <c:v>P264</c:v>
                </c:pt>
                <c:pt idx="6">
                  <c:v>P143</c:v>
                </c:pt>
                <c:pt idx="7">
                  <c:v>P210</c:v>
                </c:pt>
                <c:pt idx="8">
                  <c:v>P214</c:v>
                </c:pt>
                <c:pt idx="9">
                  <c:v>P102</c:v>
                </c:pt>
              </c:strCache>
            </c:strRef>
          </c:cat>
          <c:val>
            <c:numRef>
              <c:f>'Top 10'!$B$4:$B$13</c:f>
              <c:numCache>
                <c:formatCode>0.00%</c:formatCode>
                <c:ptCount val="10"/>
                <c:pt idx="0">
                  <c:v>0.86601941747572819</c:v>
                </c:pt>
                <c:pt idx="1">
                  <c:v>0.7168674698795181</c:v>
                </c:pt>
                <c:pt idx="2">
                  <c:v>0.70387596899224802</c:v>
                </c:pt>
                <c:pt idx="3">
                  <c:v>0.6508215962441315</c:v>
                </c:pt>
                <c:pt idx="4">
                  <c:v>0.53773584905660377</c:v>
                </c:pt>
                <c:pt idx="5">
                  <c:v>0.53389830508474578</c:v>
                </c:pt>
                <c:pt idx="6">
                  <c:v>0.50192307692307692</c:v>
                </c:pt>
                <c:pt idx="7">
                  <c:v>0.48518407662376534</c:v>
                </c:pt>
                <c:pt idx="8">
                  <c:v>0.37955854126679461</c:v>
                </c:pt>
                <c:pt idx="9">
                  <c:v>0.35666666666666669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D-477F-9B5B-841ABA0DAD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7993488"/>
        <c:axId val="397995408"/>
      </c:barChart>
      <c:catAx>
        <c:axId val="39799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95408"/>
        <c:crosses val="autoZero"/>
        <c:auto val="1"/>
        <c:lblAlgn val="ctr"/>
        <c:lblOffset val="100"/>
        <c:noMultiLvlLbl val="0"/>
      </c:catAx>
      <c:valAx>
        <c:axId val="3979954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9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(3).xlsx]Platform and content type like!PivotTable3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 and content type</a:t>
            </a:r>
          </a:p>
          <a:p>
            <a:pPr>
              <a:defRPr/>
            </a:pPr>
            <a:r>
              <a:rPr lang="en-IN"/>
              <a:t>Like Share Comment</a:t>
            </a:r>
          </a:p>
        </c:rich>
      </c:tx>
      <c:layout>
        <c:manualLayout>
          <c:xMode val="edge"/>
          <c:yMode val="edge"/>
          <c:x val="0.28785129625595218"/>
          <c:y val="9.0984284532671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721058583092128"/>
          <c:y val="0.24664457226049866"/>
          <c:w val="0.60785344025672683"/>
          <c:h val="0.703467432575890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'Platform and content type like'!$B$3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cat>
            <c:multiLvlStrRef>
              <c:f>'Platform and content type like'!$A$4:$A$31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'Platform and content type like'!$B$4:$B$31</c:f>
              <c:numCache>
                <c:formatCode>General</c:formatCode>
                <c:ptCount val="24"/>
                <c:pt idx="0">
                  <c:v>37929</c:v>
                </c:pt>
                <c:pt idx="1">
                  <c:v>63432</c:v>
                </c:pt>
                <c:pt idx="2">
                  <c:v>28595</c:v>
                </c:pt>
                <c:pt idx="3">
                  <c:v>19598</c:v>
                </c:pt>
                <c:pt idx="4">
                  <c:v>25983</c:v>
                </c:pt>
                <c:pt idx="5">
                  <c:v>21287</c:v>
                </c:pt>
                <c:pt idx="6">
                  <c:v>27350</c:v>
                </c:pt>
                <c:pt idx="7">
                  <c:v>34202</c:v>
                </c:pt>
                <c:pt idx="8">
                  <c:v>30178</c:v>
                </c:pt>
                <c:pt idx="9">
                  <c:v>35473</c:v>
                </c:pt>
                <c:pt idx="10">
                  <c:v>18616</c:v>
                </c:pt>
                <c:pt idx="11">
                  <c:v>21499</c:v>
                </c:pt>
                <c:pt idx="12">
                  <c:v>38145</c:v>
                </c:pt>
                <c:pt idx="13">
                  <c:v>28351</c:v>
                </c:pt>
                <c:pt idx="14">
                  <c:v>19051</c:v>
                </c:pt>
                <c:pt idx="15">
                  <c:v>18516</c:v>
                </c:pt>
                <c:pt idx="16">
                  <c:v>29752</c:v>
                </c:pt>
                <c:pt idx="17">
                  <c:v>28511</c:v>
                </c:pt>
                <c:pt idx="18">
                  <c:v>24122</c:v>
                </c:pt>
                <c:pt idx="19">
                  <c:v>17865</c:v>
                </c:pt>
                <c:pt idx="20">
                  <c:v>24088</c:v>
                </c:pt>
                <c:pt idx="21">
                  <c:v>31968</c:v>
                </c:pt>
                <c:pt idx="22">
                  <c:v>16895</c:v>
                </c:pt>
                <c:pt idx="23">
                  <c:v>28425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2-4A6C-A1C3-DEB0C146EC67}"/>
            </c:ext>
          </c:extLst>
        </c:ser>
        <c:ser>
          <c:idx val="1"/>
          <c:order val="1"/>
          <c:tx>
            <c:strRef>
              <c:f>'Platform and content type like'!$C$3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cat>
            <c:multiLvlStrRef>
              <c:f>'Platform and content type like'!$A$4:$A$31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'Platform and content type like'!$C$4:$C$31</c:f>
              <c:numCache>
                <c:formatCode>General</c:formatCode>
                <c:ptCount val="24"/>
                <c:pt idx="0">
                  <c:v>6700</c:v>
                </c:pt>
                <c:pt idx="1">
                  <c:v>11344</c:v>
                </c:pt>
                <c:pt idx="2">
                  <c:v>4763</c:v>
                </c:pt>
                <c:pt idx="3">
                  <c:v>3587</c:v>
                </c:pt>
                <c:pt idx="4">
                  <c:v>3882</c:v>
                </c:pt>
                <c:pt idx="5">
                  <c:v>2194</c:v>
                </c:pt>
                <c:pt idx="6">
                  <c:v>5093</c:v>
                </c:pt>
                <c:pt idx="7">
                  <c:v>5286</c:v>
                </c:pt>
                <c:pt idx="8">
                  <c:v>7435</c:v>
                </c:pt>
                <c:pt idx="9">
                  <c:v>6932</c:v>
                </c:pt>
                <c:pt idx="10">
                  <c:v>4031</c:v>
                </c:pt>
                <c:pt idx="11">
                  <c:v>5409</c:v>
                </c:pt>
                <c:pt idx="12">
                  <c:v>4503</c:v>
                </c:pt>
                <c:pt idx="13">
                  <c:v>4471</c:v>
                </c:pt>
                <c:pt idx="14">
                  <c:v>3891</c:v>
                </c:pt>
                <c:pt idx="15">
                  <c:v>4795</c:v>
                </c:pt>
                <c:pt idx="16">
                  <c:v>4431</c:v>
                </c:pt>
                <c:pt idx="17">
                  <c:v>6117</c:v>
                </c:pt>
                <c:pt idx="18">
                  <c:v>5666</c:v>
                </c:pt>
                <c:pt idx="19">
                  <c:v>3179</c:v>
                </c:pt>
                <c:pt idx="20">
                  <c:v>2799</c:v>
                </c:pt>
                <c:pt idx="21">
                  <c:v>3866</c:v>
                </c:pt>
                <c:pt idx="22">
                  <c:v>1979</c:v>
                </c:pt>
                <c:pt idx="23">
                  <c:v>5022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2-4A6C-A1C3-DEB0C146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8016048"/>
        <c:axId val="398014608"/>
      </c:barChart>
      <c:lineChart>
        <c:grouping val="standard"/>
        <c:varyColors val="0"/>
        <c:ser>
          <c:idx val="2"/>
          <c:order val="2"/>
          <c:tx>
            <c:strRef>
              <c:f>'Platform and content type like'!$D$3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'Platform and content type like'!$A$4:$A$31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'Platform and content type like'!$D$4:$D$31</c:f>
              <c:numCache>
                <c:formatCode>General</c:formatCode>
                <c:ptCount val="24"/>
                <c:pt idx="0">
                  <c:v>3764</c:v>
                </c:pt>
                <c:pt idx="1">
                  <c:v>6088</c:v>
                </c:pt>
                <c:pt idx="2">
                  <c:v>3071</c:v>
                </c:pt>
                <c:pt idx="3">
                  <c:v>2355</c:v>
                </c:pt>
                <c:pt idx="4">
                  <c:v>2680</c:v>
                </c:pt>
                <c:pt idx="5">
                  <c:v>1406</c:v>
                </c:pt>
                <c:pt idx="6">
                  <c:v>2498</c:v>
                </c:pt>
                <c:pt idx="7">
                  <c:v>2655</c:v>
                </c:pt>
                <c:pt idx="8">
                  <c:v>2908</c:v>
                </c:pt>
                <c:pt idx="9">
                  <c:v>2859</c:v>
                </c:pt>
                <c:pt idx="10">
                  <c:v>1503</c:v>
                </c:pt>
                <c:pt idx="11">
                  <c:v>1656</c:v>
                </c:pt>
                <c:pt idx="12">
                  <c:v>3225</c:v>
                </c:pt>
                <c:pt idx="13">
                  <c:v>3397</c:v>
                </c:pt>
                <c:pt idx="14">
                  <c:v>1654</c:v>
                </c:pt>
                <c:pt idx="15">
                  <c:v>2548</c:v>
                </c:pt>
                <c:pt idx="16">
                  <c:v>3517</c:v>
                </c:pt>
                <c:pt idx="17">
                  <c:v>2815</c:v>
                </c:pt>
                <c:pt idx="18">
                  <c:v>2379</c:v>
                </c:pt>
                <c:pt idx="19">
                  <c:v>2031</c:v>
                </c:pt>
                <c:pt idx="20">
                  <c:v>1735</c:v>
                </c:pt>
                <c:pt idx="21">
                  <c:v>2012</c:v>
                </c:pt>
                <c:pt idx="22">
                  <c:v>838</c:v>
                </c:pt>
                <c:pt idx="23">
                  <c:v>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42-4A6C-A1C3-DEB0C146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669632"/>
        <c:axId val="482684992"/>
      </c:lineChart>
      <c:catAx>
        <c:axId val="3980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4608"/>
        <c:crosses val="autoZero"/>
        <c:auto val="1"/>
        <c:lblAlgn val="ctr"/>
        <c:lblOffset val="100"/>
        <c:noMultiLvlLbl val="0"/>
      </c:catAx>
      <c:valAx>
        <c:axId val="39801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16048"/>
        <c:crosses val="autoZero"/>
        <c:crossBetween val="between"/>
      </c:valAx>
      <c:valAx>
        <c:axId val="482684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69632"/>
        <c:crosses val="max"/>
        <c:crossBetween val="between"/>
      </c:valAx>
      <c:catAx>
        <c:axId val="48266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2684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(3).xlsx]Top Hashtags!PivotTable4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Hashtags'!$B$3</c:f>
              <c:strCache>
                <c:ptCount val="1"/>
                <c:pt idx="0">
                  <c:v>Count of Post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1F3-4517-9BB0-6AB255D52E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3-4517-9BB0-6AB255D52E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F3-4517-9BB0-6AB255D52E2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'Top Hashtags'!$A$4:$A$7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'Top Hashtags'!$B$4:$B$7</c:f>
              <c:numCache>
                <c:formatCode>General</c:formatCode>
                <c:ptCount val="3"/>
                <c:pt idx="0">
                  <c:v>78</c:v>
                </c:pt>
                <c:pt idx="1">
                  <c:v>84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3-4517-9BB0-6AB255D52E2E}"/>
            </c:ext>
          </c:extLst>
        </c:ser>
        <c:ser>
          <c:idx val="1"/>
          <c:order val="1"/>
          <c:tx>
            <c:strRef>
              <c:f>'Top Hashtags'!$C$3</c:f>
              <c:strCache>
                <c:ptCount val="1"/>
                <c:pt idx="0">
                  <c:v>Sum of Enggagement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6B-4652-852B-2E626A1C0B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6B-4652-852B-2E626A1C0B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6B-4652-852B-2E626A1C0B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'Top Hashtags'!$A$4:$A$7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'Top Hashtags'!$C$4:$C$7</c:f>
              <c:numCache>
                <c:formatCode>0.00%</c:formatCode>
                <c:ptCount val="3"/>
                <c:pt idx="0">
                  <c:v>0.30748559604864212</c:v>
                </c:pt>
                <c:pt idx="1">
                  <c:v>0.33900772701902426</c:v>
                </c:pt>
                <c:pt idx="2">
                  <c:v>0.35350667693233312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3-4517-9BB0-6AB255D52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5880887763837"/>
          <c:y val="5.3351004391777791E-2"/>
          <c:w val="0.22688524058140336"/>
          <c:h val="0.20885047166133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(3).xlsx]Highest Enggagement Rate!PivotTable5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</a:t>
            </a:r>
            <a:r>
              <a:rPr lang="en-IN" baseline="0"/>
              <a:t> Enggagement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'Highest Enggagement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52-448C-9875-08D95F328E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2-448C-9875-08D95F328E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52-448C-9875-08D95F328E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52-448C-9875-08D95F328E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'Highest Enggagement Rate'!$A$4:$A$8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'Highest Enggagement Rate'!$B$4:$B$8</c:f>
              <c:numCache>
                <c:formatCode>0.00%</c:formatCode>
                <c:ptCount val="4"/>
                <c:pt idx="0">
                  <c:v>0.22562742555594623</c:v>
                </c:pt>
                <c:pt idx="1">
                  <c:v>0.32527245820127426</c:v>
                </c:pt>
                <c:pt idx="2">
                  <c:v>0.28099539822269043</c:v>
                </c:pt>
                <c:pt idx="3">
                  <c:v>0.16810471802008894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A-4E00-8B58-49932D566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53718285214337"/>
          <c:y val="7.796186934966462E-2"/>
          <c:w val="0.14612948381452318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(3).xlsx]Followers Growth Rate!PivotTable6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Followers</a:t>
            </a:r>
            <a:r>
              <a:rPr lang="en-IN" baseline="0"/>
              <a:t> growth rate across platform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92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'Followers Growth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6-413A-AFD9-FAED3C1B3E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6-413A-AFD9-FAED3C1B3E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D6-413A-AFD9-FAED3C1B3E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D6-413A-AFD9-FAED3C1B3E3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'Followers Growth Rate'!$A$4:$A$8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'Followers Growth Rate'!$B$4:$B$8</c:f>
              <c:numCache>
                <c:formatCode>0.00%</c:formatCode>
                <c:ptCount val="4"/>
                <c:pt idx="0">
                  <c:v>0.18274442079353878</c:v>
                </c:pt>
                <c:pt idx="1">
                  <c:v>0.19006666928260424</c:v>
                </c:pt>
                <c:pt idx="2">
                  <c:v>0.32032252572447906</c:v>
                </c:pt>
                <c:pt idx="3">
                  <c:v>0.30686638419937801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C-4036-A334-FDD73BAE2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(3).xlsx]Enggagement Rate Vs Ad.Spend!PivotTable7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Enggagement</a:t>
            </a:r>
            <a:r>
              <a:rPr lang="en-IN" baseline="0"/>
              <a:t> Rate Vs Ad.Spend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727971503562057"/>
          <c:y val="8.2680591818973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301283997597986"/>
          <c:y val="0.20819713136380147"/>
          <c:w val="0.36052398977120148"/>
          <c:h val="0.732343770344633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'Enggagement Rate Vs Ad.Spend'!$B$3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'Enggagement Rate Vs Ad.Spend'!$A$4:$A$8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'Enggagement Rate Vs Ad.Spend'!$B$4:$B$8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B-4C01-A924-F2E6C8C230AD}"/>
            </c:ext>
          </c:extLst>
        </c:ser>
        <c:ser>
          <c:idx val="1"/>
          <c:order val="1"/>
          <c:tx>
            <c:strRef>
              <c:f>'Enggagement Rate Vs Ad.Spend'!$C$3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'Enggagement Rate Vs Ad.Spend'!$A$4:$A$8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'Enggagement Rate Vs Ad.Spend'!$C$4:$C$8</c:f>
              <c:numCache>
                <c:formatCode>0.00%</c:formatCode>
                <c:ptCount val="4"/>
                <c:pt idx="0">
                  <c:v>0.25017272840009214</c:v>
                </c:pt>
                <c:pt idx="1">
                  <c:v>0.25314011373500805</c:v>
                </c:pt>
                <c:pt idx="2">
                  <c:v>0.25049161160026218</c:v>
                </c:pt>
                <c:pt idx="3">
                  <c:v>0.2461955462646376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B-4C01-A924-F2E6C8C2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737216"/>
        <c:axId val="480738176"/>
      </c:barChart>
      <c:valAx>
        <c:axId val="48073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37216"/>
        <c:crosses val="autoZero"/>
        <c:crossBetween val="between"/>
      </c:valAx>
      <c:catAx>
        <c:axId val="48073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3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17170378455173"/>
          <c:y val="0.35080453389801469"/>
          <c:w val="0.30382829621544832"/>
          <c:h val="0.15121947876619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 (3).xlsx]Weekly follower growth per plat!PivotTable10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Weekly follower growth per 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follower growth per plat'!$B$3</c:f>
              <c:strCache>
                <c:ptCount val="1"/>
                <c:pt idx="0">
                  <c:v>Sum of Growth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'Weekly follower growth per plat'!$A$4:$A$33</c:f>
              <c:multiLvlStrCache>
                <c:ptCount val="20"/>
                <c:lvl>
                  <c:pt idx="0">
                    <c:v>2024-07-01</c:v>
                  </c:pt>
                  <c:pt idx="1">
                    <c:v>2024-07-08</c:v>
                  </c:pt>
                  <c:pt idx="2">
                    <c:v>2024-07-15</c:v>
                  </c:pt>
                  <c:pt idx="3">
                    <c:v>2024-07-22</c:v>
                  </c:pt>
                  <c:pt idx="4">
                    <c:v>2024-07-29</c:v>
                  </c:pt>
                  <c:pt idx="5">
                    <c:v>2024-07-01</c:v>
                  </c:pt>
                  <c:pt idx="6">
                    <c:v>2024-07-08</c:v>
                  </c:pt>
                  <c:pt idx="7">
                    <c:v>2024-07-15</c:v>
                  </c:pt>
                  <c:pt idx="8">
                    <c:v>2024-07-22</c:v>
                  </c:pt>
                  <c:pt idx="9">
                    <c:v>2024-07-29</c:v>
                  </c:pt>
                  <c:pt idx="10">
                    <c:v>2024-07-01</c:v>
                  </c:pt>
                  <c:pt idx="11">
                    <c:v>2024-07-08</c:v>
                  </c:pt>
                  <c:pt idx="12">
                    <c:v>2024-07-15</c:v>
                  </c:pt>
                  <c:pt idx="13">
                    <c:v>2024-07-22</c:v>
                  </c:pt>
                  <c:pt idx="14">
                    <c:v>2024-07-29</c:v>
                  </c:pt>
                  <c:pt idx="15">
                    <c:v>2024-07-01</c:v>
                  </c:pt>
                  <c:pt idx="16">
                    <c:v>2024-07-08</c:v>
                  </c:pt>
                  <c:pt idx="17">
                    <c:v>2024-07-15</c:v>
                  </c:pt>
                  <c:pt idx="18">
                    <c:v>2024-07-22</c:v>
                  </c:pt>
                  <c:pt idx="19">
                    <c:v>2024-07-29</c:v>
                  </c:pt>
                </c:lvl>
                <c:lvl>
                  <c:pt idx="0">
                    <c:v>Facebook</c:v>
                  </c:pt>
                  <c:pt idx="5">
                    <c:v>Instagram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'Weekly follower growth per plat'!$B$4:$B$33</c:f>
              <c:numCache>
                <c:formatCode>0.00%</c:formatCode>
                <c:ptCount val="20"/>
                <c:pt idx="0">
                  <c:v>2.8890264227498302E-3</c:v>
                </c:pt>
                <c:pt idx="1">
                  <c:v>1.2204682124485958E-2</c:v>
                </c:pt>
                <c:pt idx="2">
                  <c:v>-4.8638337707101525E-3</c:v>
                </c:pt>
                <c:pt idx="3">
                  <c:v>3.2447298372698982E-2</c:v>
                </c:pt>
                <c:pt idx="4">
                  <c:v>-7.2526033990121443E-3</c:v>
                </c:pt>
                <c:pt idx="5">
                  <c:v>-5.1814067016045656E-3</c:v>
                </c:pt>
                <c:pt idx="6">
                  <c:v>0.2935643654202702</c:v>
                </c:pt>
                <c:pt idx="7">
                  <c:v>0.12026392896773053</c:v>
                </c:pt>
                <c:pt idx="8">
                  <c:v>3.3330680846175732E-3</c:v>
                </c:pt>
                <c:pt idx="9">
                  <c:v>0.23230600649969571</c:v>
                </c:pt>
                <c:pt idx="10">
                  <c:v>4.2917012244965969E-2</c:v>
                </c:pt>
                <c:pt idx="11">
                  <c:v>1.3952484672387782E-2</c:v>
                </c:pt>
                <c:pt idx="12">
                  <c:v>1.8883284216499006E-2</c:v>
                </c:pt>
                <c:pt idx="13">
                  <c:v>6.6340814132972672E-2</c:v>
                </c:pt>
                <c:pt idx="14">
                  <c:v>5.188747853981826E-2</c:v>
                </c:pt>
                <c:pt idx="15">
                  <c:v>7.9546324240525601E-3</c:v>
                </c:pt>
                <c:pt idx="16">
                  <c:v>2.1886644013139923E-2</c:v>
                </c:pt>
                <c:pt idx="17">
                  <c:v>1.0149605742324798E-2</c:v>
                </c:pt>
                <c:pt idx="18">
                  <c:v>1.0277672443629482E-2</c:v>
                </c:pt>
                <c:pt idx="19">
                  <c:v>7.6039839549287822E-2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878-B312-C742733EB2E0}"/>
            </c:ext>
          </c:extLst>
        </c:ser>
        <c:ser>
          <c:idx val="1"/>
          <c:order val="1"/>
          <c:tx>
            <c:strRef>
              <c:f>'Weekly follower growth per plat'!$C$3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'Weekly follower growth per plat'!$A$4:$A$33</c:f>
              <c:multiLvlStrCache>
                <c:ptCount val="20"/>
                <c:lvl>
                  <c:pt idx="0">
                    <c:v>2024-07-01</c:v>
                  </c:pt>
                  <c:pt idx="1">
                    <c:v>2024-07-08</c:v>
                  </c:pt>
                  <c:pt idx="2">
                    <c:v>2024-07-15</c:v>
                  </c:pt>
                  <c:pt idx="3">
                    <c:v>2024-07-22</c:v>
                  </c:pt>
                  <c:pt idx="4">
                    <c:v>2024-07-29</c:v>
                  </c:pt>
                  <c:pt idx="5">
                    <c:v>2024-07-01</c:v>
                  </c:pt>
                  <c:pt idx="6">
                    <c:v>2024-07-08</c:v>
                  </c:pt>
                  <c:pt idx="7">
                    <c:v>2024-07-15</c:v>
                  </c:pt>
                  <c:pt idx="8">
                    <c:v>2024-07-22</c:v>
                  </c:pt>
                  <c:pt idx="9">
                    <c:v>2024-07-29</c:v>
                  </c:pt>
                  <c:pt idx="10">
                    <c:v>2024-07-01</c:v>
                  </c:pt>
                  <c:pt idx="11">
                    <c:v>2024-07-08</c:v>
                  </c:pt>
                  <c:pt idx="12">
                    <c:v>2024-07-15</c:v>
                  </c:pt>
                  <c:pt idx="13">
                    <c:v>2024-07-22</c:v>
                  </c:pt>
                  <c:pt idx="14">
                    <c:v>2024-07-29</c:v>
                  </c:pt>
                  <c:pt idx="15">
                    <c:v>2024-07-01</c:v>
                  </c:pt>
                  <c:pt idx="16">
                    <c:v>2024-07-08</c:v>
                  </c:pt>
                  <c:pt idx="17">
                    <c:v>2024-07-15</c:v>
                  </c:pt>
                  <c:pt idx="18">
                    <c:v>2024-07-22</c:v>
                  </c:pt>
                  <c:pt idx="19">
                    <c:v>2024-07-29</c:v>
                  </c:pt>
                </c:lvl>
                <c:lvl>
                  <c:pt idx="0">
                    <c:v>Facebook</c:v>
                  </c:pt>
                  <c:pt idx="5">
                    <c:v>Instagram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'Weekly follower growth per plat'!$C$4:$C$33</c:f>
              <c:numCache>
                <c:formatCode>General</c:formatCode>
                <c:ptCount val="20"/>
                <c:pt idx="0">
                  <c:v>505</c:v>
                </c:pt>
                <c:pt idx="1">
                  <c:v>350</c:v>
                </c:pt>
                <c:pt idx="2">
                  <c:v>170</c:v>
                </c:pt>
                <c:pt idx="3">
                  <c:v>1391</c:v>
                </c:pt>
                <c:pt idx="4">
                  <c:v>160</c:v>
                </c:pt>
                <c:pt idx="5">
                  <c:v>226</c:v>
                </c:pt>
                <c:pt idx="6">
                  <c:v>1757</c:v>
                </c:pt>
                <c:pt idx="7">
                  <c:v>1960</c:v>
                </c:pt>
                <c:pt idx="8">
                  <c:v>508</c:v>
                </c:pt>
                <c:pt idx="9">
                  <c:v>653</c:v>
                </c:pt>
                <c:pt idx="10">
                  <c:v>1420</c:v>
                </c:pt>
                <c:pt idx="11">
                  <c:v>987</c:v>
                </c:pt>
                <c:pt idx="12">
                  <c:v>704</c:v>
                </c:pt>
                <c:pt idx="13">
                  <c:v>1701</c:v>
                </c:pt>
                <c:pt idx="14">
                  <c:v>1756</c:v>
                </c:pt>
                <c:pt idx="15">
                  <c:v>144</c:v>
                </c:pt>
                <c:pt idx="16">
                  <c:v>883</c:v>
                </c:pt>
                <c:pt idx="17">
                  <c:v>224</c:v>
                </c:pt>
                <c:pt idx="18">
                  <c:v>804</c:v>
                </c:pt>
                <c:pt idx="19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878-B312-C742733EB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48928"/>
        <c:axId val="1288155648"/>
      </c:lineChart>
      <c:catAx>
        <c:axId val="12881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55648"/>
        <c:crosses val="autoZero"/>
        <c:auto val="1"/>
        <c:lblAlgn val="ctr"/>
        <c:lblOffset val="100"/>
        <c:noMultiLvlLbl val="0"/>
      </c:catAx>
      <c:valAx>
        <c:axId val="12881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4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weekly growth</a:t>
            </a:r>
            <a:endParaRPr lang="en-IN"/>
          </a:p>
        </c:rich>
      </c:tx>
      <c:layout>
        <c:manualLayout>
          <c:xMode val="edge"/>
          <c:yMode val="edge"/>
          <c:x val="0.3763947588400002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'ad.spend Vs weekly growth'!$C$2:$C$201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'ad.spend Vs weekly growth'!$D$2:$D$201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F-407A-AA7A-5F7EA9EF3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422160"/>
        <c:axId val="926447600"/>
      </c:scatterChart>
      <c:valAx>
        <c:axId val="92642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931983585570741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7600"/>
        <c:crosses val="autoZero"/>
        <c:crossBetween val="midCat"/>
      </c:valAx>
      <c:valAx>
        <c:axId val="926447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sweekly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2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0</xdr:row>
      <xdr:rowOff>167640</xdr:rowOff>
    </xdr:from>
    <xdr:to>
      <xdr:col>9</xdr:col>
      <xdr:colOff>213360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2AA5F-B787-1BDE-D4BC-BDC7CDA85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167640</xdr:rowOff>
    </xdr:from>
    <xdr:to>
      <xdr:col>11</xdr:col>
      <xdr:colOff>236220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B7EF9-4DBD-BBD8-E96D-CCA82BDE0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167640</xdr:rowOff>
    </xdr:from>
    <xdr:to>
      <xdr:col>10</xdr:col>
      <xdr:colOff>312420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37C89-282D-1E21-1E00-168351BE5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144780</xdr:rowOff>
    </xdr:from>
    <xdr:to>
      <xdr:col>14</xdr:col>
      <xdr:colOff>289560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6FD7D-EE46-2101-7CF1-99801C803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1005840</xdr:colOff>
      <xdr:row>8</xdr:row>
      <xdr:rowOff>30480</xdr:rowOff>
    </xdr:from>
    <xdr:to>
      <xdr:col>13</xdr:col>
      <xdr:colOff>236220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E4E0F-812B-562B-42A2-B291F7C1D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15240</xdr:rowOff>
    </xdr:from>
    <xdr:to>
      <xdr:col>10</xdr:col>
      <xdr:colOff>281940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D02D4-253D-B906-8CFF-7CF49C8D1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175260</xdr:rowOff>
    </xdr:from>
    <xdr:to>
      <xdr:col>13</xdr:col>
      <xdr:colOff>1043940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7F97B-97E7-CD97-2259-044A61CEC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53340</xdr:rowOff>
    </xdr:from>
    <xdr:to>
      <xdr:col>9</xdr:col>
      <xdr:colOff>426720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679EA-0219-B05B-7E55-E52C9808F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D0545-D937-8886-03B3-4B38BFEC0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15240</xdr:rowOff>
    </xdr:from>
    <xdr:to>
      <xdr:col>10</xdr:col>
      <xdr:colOff>297180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0270E-8B31-4BA8-F453-75DA07486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175260</xdr:rowOff>
    </xdr:from>
    <xdr:to>
      <xdr:col>12</xdr:col>
      <xdr:colOff>365760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BAAB7-AD07-DA1F-61C3-A931D24D5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1432560</xdr:colOff>
      <xdr:row>1</xdr:row>
      <xdr:rowOff>160020</xdr:rowOff>
    </xdr:from>
    <xdr:to>
      <xdr:col>9</xdr:col>
      <xdr:colOff>327660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DD07B-3DC9-7B98-1B42-E42F6C97F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0</xdr:row>
      <xdr:rowOff>156210</xdr:rowOff>
    </xdr:from>
    <xdr:to>
      <xdr:col>16</xdr:col>
      <xdr:colOff>563880</xdr:colOff>
      <xdr:row>15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0A32D4-0C74-9CD2-AEFB-E58CBB5B6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ya jaiswal" refreshedDate="46005.898167708336" createdVersion="8" refreshedVersion="8" minRefreshableVersion="3" recordCount="200" xr:uid="{A5871863-7437-4F89-A691-3C7C5AF5809B}">
  <cacheSource type="worksheet">
    <worksheetSource ref="A1:I201" sheet="Engagement Summary"/>
  </cacheSource>
  <cacheFields count="9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 count="191">
        <n v="1135"/>
        <n v="1312"/>
        <n v="584"/>
        <n v="1535"/>
        <n v="656"/>
        <n v="1697"/>
        <n v="436"/>
        <n v="1197"/>
        <n v="1048"/>
        <n v="1753"/>
        <n v="1335"/>
        <n v="403"/>
        <n v="911"/>
        <n v="1779"/>
        <n v="1238"/>
        <n v="308"/>
        <n v="226"/>
        <n v="505"/>
        <n v="1420"/>
        <n v="144"/>
        <n v="1757"/>
        <n v="350"/>
        <n v="987"/>
        <n v="883"/>
        <n v="1960"/>
        <n v="170"/>
        <n v="704"/>
        <n v="224"/>
        <n v="508"/>
        <n v="1391"/>
        <n v="1701"/>
        <n v="804"/>
        <n v="653"/>
        <n v="160"/>
        <n v="1756"/>
        <n v="576"/>
        <n v="645"/>
        <n v="214"/>
        <n v="826"/>
        <n v="460"/>
        <n v="1528"/>
        <n v="1534"/>
        <n v="485"/>
        <n v="1210"/>
        <n v="215"/>
        <n v="1078"/>
        <n v="1751"/>
        <n v="221"/>
        <n v="1685"/>
        <n v="248"/>
        <n v="1300"/>
        <n v="422"/>
        <n v="1429"/>
        <n v="1520"/>
        <n v="557"/>
        <n v="728"/>
        <n v="1592"/>
        <n v="1842"/>
        <n v="751"/>
        <n v="1409"/>
        <n v="778"/>
        <n v="443"/>
        <n v="1472"/>
        <n v="123"/>
        <n v="817"/>
        <n v="198"/>
        <n v="1911"/>
        <n v="1218"/>
        <n v="1433"/>
        <n v="250"/>
        <n v="752"/>
        <n v="1918"/>
        <n v="1939"/>
        <n v="1929"/>
        <n v="437"/>
        <n v="307"/>
        <n v="1527"/>
        <n v="643"/>
        <n v="201"/>
        <n v="414"/>
        <n v="703"/>
        <n v="697"/>
        <n v="1707"/>
        <n v="642"/>
        <n v="859"/>
        <n v="191"/>
        <n v="1814"/>
        <n v="1466"/>
        <n v="947"/>
        <n v="1821"/>
        <n v="1507"/>
        <n v="1075"/>
        <n v="171"/>
        <n v="1487"/>
        <n v="454"/>
        <n v="187"/>
        <n v="513"/>
        <n v="628"/>
        <n v="278"/>
        <n v="1854"/>
        <n v="1710"/>
        <n v="330"/>
        <n v="1293"/>
        <n v="1696"/>
        <n v="1902"/>
        <n v="1441"/>
        <n v="452"/>
        <n v="1494"/>
        <n v="1514"/>
        <n v="1937"/>
        <n v="736"/>
        <n v="1502"/>
        <n v="1623"/>
        <n v="1004"/>
        <n v="1092"/>
        <n v="1155"/>
        <n v="1137"/>
        <n v="1900"/>
        <n v="1980"/>
        <n v="1786"/>
        <n v="1495"/>
        <n v="1013"/>
        <n v="816"/>
        <n v="1633"/>
        <n v="891"/>
        <n v="1855"/>
        <n v="651"/>
        <n v="118"/>
        <n v="1331"/>
        <n v="1748"/>
        <n v="663"/>
        <n v="1040"/>
        <n v="1166"/>
        <n v="115"/>
        <n v="1249"/>
        <n v="1501"/>
        <n v="1411"/>
        <n v="1556"/>
        <n v="1159"/>
        <n v="927"/>
        <n v="152"/>
        <n v="1957"/>
        <n v="1294"/>
        <n v="1587"/>
        <n v="1138"/>
        <n v="1895"/>
        <n v="362"/>
        <n v="1662"/>
        <n v="1440"/>
        <n v="1884"/>
        <n v="861"/>
        <n v="1063"/>
        <n v="1371"/>
        <n v="345"/>
        <n v="946"/>
        <n v="510"/>
        <n v="393"/>
        <n v="1098"/>
        <n v="1399"/>
        <n v="1658"/>
        <n v="1102"/>
        <n v="1358"/>
        <n v="1077"/>
        <n v="1596"/>
        <n v="490"/>
        <n v="609"/>
        <n v="364"/>
        <n v="442"/>
        <n v="1033"/>
        <n v="988"/>
        <n v="1946"/>
        <n v="559"/>
        <n v="1307"/>
        <n v="1432"/>
        <n v="623"/>
        <n v="353"/>
        <n v="520"/>
        <n v="961"/>
        <n v="1375"/>
        <n v="1147"/>
        <n v="1693"/>
        <n v="833"/>
        <n v="1222"/>
        <n v="777"/>
        <n v="405"/>
        <n v="1581"/>
        <n v="1035"/>
        <n v="1765"/>
        <n v="837"/>
        <n v="337"/>
        <n v="119"/>
      </sharedItems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Old_followers" numFmtId="0">
      <sharedItems containsSemiMixedTypes="0" containsString="0" containsNumber="1" containsInteger="1" minValue="10798" maxValue="495937"/>
    </cacheField>
    <cacheField name="Growth Rate" numFmtId="10">
      <sharedItems containsSemiMixedTypes="0" containsString="0" containsNumber="1" minValue="-4.0653839194161288E-3" maxValue="0.12139196115457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mya jaiswal" refreshedDate="46006.800374074075" createdVersion="8" refreshedVersion="8" minRefreshableVersion="3" recordCount="244" xr:uid="{198B4D88-9814-4C10-8AAD-C1199AF32671}">
  <cacheSource type="worksheet">
    <worksheetSource ref="A1:N245" sheet="Preprocced Data"/>
  </cacheSource>
  <cacheFields count="17">
    <cacheField name="Post ID" numFmtId="0">
      <sharedItems count="244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5"/>
        <s v="P016"/>
        <s v="P017"/>
        <s v="P018"/>
        <s v="P019"/>
        <s v="P020"/>
        <s v="P021"/>
        <s v="P022"/>
        <s v="P023"/>
        <s v="P024"/>
        <s v="P026"/>
        <s v="P027"/>
        <s v="P028"/>
        <s v="P029"/>
        <s v="P031"/>
        <s v="P032"/>
        <s v="P033"/>
        <s v="P034"/>
        <s v="P035"/>
        <s v="P036"/>
        <s v="P037"/>
        <s v="P038"/>
        <s v="P040"/>
        <s v="P041"/>
        <s v="P043"/>
        <s v="P045"/>
        <s v="P046"/>
        <s v="P049"/>
        <s v="P050"/>
        <s v="P051"/>
        <s v="P052"/>
        <s v="P054"/>
        <s v="P055"/>
        <s v="P056"/>
        <s v="P057"/>
        <s v="P058"/>
        <s v="P060"/>
        <s v="P061"/>
        <s v="P062"/>
        <s v="P063"/>
        <s v="P064"/>
        <s v="P066"/>
        <s v="P067"/>
        <s v="P069"/>
        <s v="P071"/>
        <s v="P072"/>
        <s v="P073"/>
        <s v="P074"/>
        <s v="P075"/>
        <s v="P076"/>
        <s v="P078"/>
        <s v="P079"/>
        <s v="P081"/>
        <s v="P082"/>
        <s v="P084"/>
        <s v="P085"/>
        <s v="P086"/>
        <s v="P087"/>
        <s v="P088"/>
        <s v="P090"/>
        <s v="P091"/>
        <s v="P092"/>
        <s v="P093"/>
        <s v="P094"/>
        <s v="P095"/>
        <s v="P097"/>
        <s v="P098"/>
        <s v="P099"/>
        <s v="P101"/>
        <s v="P102"/>
        <s v="P103"/>
        <s v="P104"/>
        <s v="P105"/>
        <s v="P106"/>
        <s v="P108"/>
        <s v="P109"/>
        <s v="P110"/>
        <s v="P111"/>
        <s v="P112"/>
        <s v="P113"/>
        <s v="P114"/>
        <s v="P115"/>
        <s v="P117"/>
        <s v="P118"/>
        <s v="P120"/>
        <s v="P122"/>
        <s v="P123"/>
        <s v="P124"/>
        <s v="P125"/>
        <s v="P127"/>
        <s v="P130"/>
        <s v="P131"/>
        <s v="P132"/>
        <s v="P133"/>
        <s v="P134"/>
        <s v="P135"/>
        <s v="P136"/>
        <s v="P138"/>
        <s v="P139"/>
        <s v="P140"/>
        <s v="P142"/>
        <s v="P143"/>
        <s v="P144"/>
        <s v="P145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1"/>
        <s v="P163"/>
        <s v="P164"/>
        <s v="P165"/>
        <s v="P166"/>
        <s v="P168"/>
        <s v="P169"/>
        <s v="P170"/>
        <s v="P171"/>
        <s v="P172"/>
        <s v="P173"/>
        <s v="P175"/>
        <s v="P176"/>
        <s v="P177"/>
        <s v="P178"/>
        <s v="P180"/>
        <s v="P181"/>
        <s v="P182"/>
        <s v="P183"/>
        <s v="P184"/>
        <s v="P186"/>
        <s v="P187"/>
        <s v="P188"/>
        <s v="P189"/>
        <s v="P191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8"/>
        <s v="P219"/>
        <s v="P222"/>
        <s v="P224"/>
        <s v="P227"/>
        <s v="P228"/>
        <s v="P230"/>
        <s v="P231"/>
        <s v="P232"/>
        <s v="P233"/>
        <s v="P235"/>
        <s v="P236"/>
        <s v="P237"/>
        <s v="P238"/>
        <s v="P240"/>
        <s v="P241"/>
        <s v="P242"/>
        <s v="P243"/>
        <s v="P244"/>
        <s v="P245"/>
        <s v="P246"/>
        <s v="P249"/>
        <s v="P252"/>
        <s v="P254"/>
        <s v="P255"/>
        <s v="P256"/>
        <s v="P257"/>
        <s v="P258"/>
        <s v="P259"/>
        <s v="P260"/>
        <s v="P261"/>
        <s v="P263"/>
        <s v="P264"/>
        <s v="P265"/>
        <s v="P266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6"/>
        <s v="P287"/>
        <s v="P288"/>
        <s v="P290"/>
        <s v="P291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2T00:00:00" maxDate="2025-05-15T00:00:00" count="173">
        <d v="2024-12-23T00:00:00"/>
        <d v="2025-04-03T00:00:00"/>
        <d v="2025-05-12T00:00:00"/>
        <d v="2024-08-12T00:00:00"/>
        <d v="2024-06-26T00:00:00"/>
        <d v="2024-10-31T00:00:00"/>
        <d v="2024-06-24T00:00:00"/>
        <d v="2024-07-13T00:00:00"/>
        <d v="2024-08-30T00:00:00"/>
        <d v="2025-03-11T00:00:00"/>
        <d v="2025-02-02T00:00:00"/>
        <d v="2024-07-21T00:00:00"/>
        <d v="2024-11-18T00:00:00"/>
        <d v="2024-10-24T00:00:00"/>
        <d v="2024-08-26T00:00:00"/>
        <d v="2025-05-05T00:00:00"/>
        <d v="2024-08-19T00:00:00"/>
        <d v="2024-06-23T00:00:00"/>
        <d v="2024-09-09T00:00:00"/>
        <d v="2025-01-04T00:00:00"/>
        <d v="2025-02-27T00:00:00"/>
        <d v="2024-11-06T00:00:00"/>
        <d v="2025-01-23T00:00:00"/>
        <d v="2025-04-05T00:00:00"/>
        <d v="2024-09-17T00:00:00"/>
        <d v="2025-03-04T00:00:00"/>
        <d v="2025-01-31T00:00:00"/>
        <d v="2024-12-16T00:00:00"/>
        <d v="2024-07-31T00:00:00"/>
        <d v="2024-08-21T00:00:00"/>
        <d v="2025-03-26T00:00:00"/>
        <d v="2024-11-30T00:00:00"/>
        <d v="2025-04-19T00:00:00"/>
        <d v="2025-01-06T00:00:00"/>
        <d v="2025-02-17T00:00:00"/>
        <d v="2025-03-07T00:00:00"/>
        <d v="2025-03-08T00:00:00"/>
        <d v="2024-12-14T00:00:00"/>
        <d v="2024-11-01T00:00:00"/>
        <d v="2025-05-02T00:00:00"/>
        <d v="2024-06-10T00:00:00"/>
        <d v="2024-07-03T00:00:00"/>
        <d v="2024-06-13T00:00:00"/>
        <d v="2025-01-03T00:00:00"/>
        <d v="2025-03-13T00:00:00"/>
        <d v="2024-06-17T00:00:00"/>
        <d v="2024-12-18T00:00:00"/>
        <d v="2024-10-21T00:00:00"/>
        <d v="2025-04-15T00:00:00"/>
        <d v="2025-01-28T00:00:00"/>
        <d v="2024-09-05T00:00:00"/>
        <d v="2024-11-22T00:00:00"/>
        <d v="2024-08-17T00:00:00"/>
        <d v="2024-07-26T00:00:00"/>
        <d v="2025-03-29T00:00:00"/>
        <d v="2024-09-02T00:00:00"/>
        <d v="2025-03-03T00:00:00"/>
        <d v="2024-10-18T00:00:00"/>
        <d v="2024-10-28T00:00:00"/>
        <d v="2024-08-01T00:00:00"/>
        <d v="2024-11-07T00:00:00"/>
        <d v="2024-10-09T00:00:00"/>
        <d v="2024-10-19T00:00:00"/>
        <d v="2024-07-24T00:00:00"/>
        <d v="2024-12-09T00:00:00"/>
        <d v="2025-01-27T00:00:00"/>
        <d v="2024-06-06T00:00:00"/>
        <d v="2024-07-07T00:00:00"/>
        <d v="2024-06-03T00:00:00"/>
        <d v="2025-03-24T00:00:00"/>
        <d v="2024-12-11T00:00:00"/>
        <d v="2024-11-08T00:00:00"/>
        <d v="2024-08-13T00:00:00"/>
        <d v="2024-07-02T00:00:00"/>
        <d v="2024-09-18T00:00:00"/>
        <d v="2024-06-11T00:00:00"/>
        <d v="2025-03-23T00:00:00"/>
        <d v="2024-06-14T00:00:00"/>
        <d v="2025-02-04T00:00:00"/>
        <d v="2025-03-25T00:00:00"/>
        <d v="2024-08-08T00:00:00"/>
        <d v="2024-07-29T00:00:00"/>
        <d v="2024-11-23T00:00:00"/>
        <d v="2024-10-05T00:00:00"/>
        <d v="2024-10-02T00:00:00"/>
        <d v="2024-11-14T00:00:00"/>
        <d v="2025-05-11T00:00:00"/>
        <d v="2024-11-04T00:00:00"/>
        <d v="2025-04-06T00:00:00"/>
        <d v="2024-09-08T00:00:00"/>
        <d v="2024-09-29T00:00:00"/>
        <d v="2025-02-06T00:00:00"/>
        <d v="2025-04-24T00:00:00"/>
        <d v="2024-11-28T00:00:00"/>
        <d v="2024-07-11T00:00:00"/>
        <d v="2024-10-29T00:00:00"/>
        <d v="2024-07-15T00:00:00"/>
        <d v="2024-06-16T00:00:00"/>
        <d v="2024-08-22T00:00:00"/>
        <d v="2025-04-22T00:00:00"/>
        <d v="2025-01-01T00:00:00"/>
        <d v="2024-12-21T00:00:00"/>
        <d v="2024-10-22T00:00:00"/>
        <d v="2024-07-23T00:00:00"/>
        <d v="2024-08-11T00:00:00"/>
        <d v="2024-11-25T00:00:00"/>
        <d v="2025-02-19T00:00:00"/>
        <d v="2025-04-08T00:00:00"/>
        <d v="2025-02-16T00:00:00"/>
        <d v="2024-11-12T00:00:00"/>
        <d v="2024-12-03T00:00:00"/>
        <d v="2025-04-28T00:00:00"/>
        <d v="2024-12-31T00:00:00"/>
        <d v="2024-08-14T00:00:00"/>
        <d v="2024-12-05T00:00:00"/>
        <d v="2025-01-17T00:00:00"/>
        <d v="2024-06-20T00:00:00"/>
        <d v="2024-07-10T00:00:00"/>
        <d v="2025-03-21T00:00:00"/>
        <d v="2024-12-17T00:00:00"/>
        <d v="2024-07-28T00:00:00"/>
        <d v="2024-08-24T00:00:00"/>
        <d v="2024-12-22T00:00:00"/>
        <d v="2024-09-11T00:00:00"/>
        <d v="2024-08-15T00:00:00"/>
        <d v="2024-12-19T00:00:00"/>
        <d v="2024-09-14T00:00:00"/>
        <d v="2025-04-07T00:00:00"/>
        <d v="2025-01-15T00:00:00"/>
        <d v="2024-06-02T00:00:00"/>
        <d v="2024-11-21T00:00:00"/>
        <d v="2024-12-29T00:00:00"/>
        <d v="2025-03-19T00:00:00"/>
        <d v="2024-07-18T00:00:00"/>
        <d v="2025-05-01T00:00:00"/>
        <d v="2025-05-06T00:00:00"/>
        <d v="2024-10-08T00:00:00"/>
        <d v="2025-05-13T00:00:00"/>
        <d v="2024-06-12T00:00:00"/>
        <d v="2024-07-01T00:00:00"/>
        <d v="2025-04-29T00:00:00"/>
        <d v="2024-07-16T00:00:00"/>
        <d v="2025-01-18T00:00:00"/>
        <d v="2025-03-06T00:00:00"/>
        <d v="2024-10-25T00:00:00"/>
        <d v="2025-01-12T00:00:00"/>
        <d v="2024-10-11T00:00:00"/>
        <d v="2025-01-14T00:00:00"/>
        <d v="2024-08-05T00:00:00"/>
        <d v="2025-02-10T00:00:00"/>
        <d v="2025-02-12T00:00:00"/>
        <d v="2024-10-27T00:00:00"/>
        <d v="2024-08-20T00:00:00"/>
        <d v="2025-01-30T00:00:00"/>
        <d v="2025-02-20T00:00:00"/>
        <d v="2025-04-13T00:00:00"/>
        <d v="2024-11-05T00:00:00"/>
        <d v="2024-10-17T00:00:00"/>
        <d v="2025-03-27T00:00:00"/>
        <d v="2024-10-12T00:00:00"/>
        <d v="2024-06-07T00:00:00"/>
        <d v="2024-11-26T00:00:00"/>
        <d v="2025-03-22T00:00:00"/>
        <d v="2024-10-03T00:00:00"/>
        <d v="2025-05-09T00:00:00"/>
        <d v="2024-09-25T00:00:00"/>
        <d v="2025-04-17T00:00:00"/>
        <d v="2024-12-20T00:00:00"/>
        <d v="2025-05-14T00:00:00"/>
        <d v="2024-06-19T00:00:00"/>
        <d v="2025-02-11T00:00:00"/>
        <d v="2024-12-24T00:00:00"/>
        <d v="2024-08-31T00:00:00"/>
      </sharedItems>
      <fieldGroup par="16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90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FutureOfDriving"/>
        <s v="#TeslaCoInnovation"/>
        <s v="#EVRevolution"/>
      </sharedItems>
    </cacheField>
    <cacheField name="Campaign_Name" numFmtId="0">
      <sharedItems count="4">
        <s v="CybertruckLaunch"/>
        <s v="ModelYCampaign"/>
        <s v="FSDUpdate"/>
        <s v="SustainabilityDrive"/>
      </sharedItems>
    </cacheField>
    <cacheField name="Enggagement Rate" numFmtId="10">
      <sharedItems containsSemiMixedTypes="0" containsString="0" containsNumber="1" minValue="5.2551586421122697E-2" maxValue="0.86601941747572819"/>
    </cacheField>
    <cacheField name="Months (Date)" numFmtId="0" databaseField="0">
      <fieldGroup base="2">
        <rangePr groupBy="months" startDate="2024-06-02T00:00:00" endDate="2025-05-15T00:00:00"/>
        <groupItems count="14">
          <s v="&lt;02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5-2025"/>
        </groupItems>
      </fieldGroup>
    </cacheField>
    <cacheField name="Quarters (Date)" numFmtId="0" databaseField="0">
      <fieldGroup base="2">
        <rangePr groupBy="quarters" startDate="2024-06-02T00:00:00" endDate="2025-05-15T00:00:00"/>
        <groupItems count="6">
          <s v="&lt;02-06-2024"/>
          <s v="Qtr1"/>
          <s v="Qtr2"/>
          <s v="Qtr3"/>
          <s v="Qtr4"/>
          <s v="&gt;15-05-2025"/>
        </groupItems>
      </fieldGroup>
    </cacheField>
    <cacheField name="Years (Date)" numFmtId="0" databaseField="0">
      <fieldGroup base="2">
        <rangePr groupBy="years" startDate="2024-06-02T00:00:00" endDate="2025-05-15T00:00:00"/>
        <groupItems count="4">
          <s v="&lt;02-06-2024"/>
          <s v="2024"/>
          <s v="2025"/>
          <s v="&gt;15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88"/>
    <n v="344084"/>
    <n v="8.06"/>
    <n v="5904"/>
    <n v="343037"/>
    <n v="3.0521488935595868E-3"/>
  </r>
  <r>
    <x v="0"/>
    <x v="1"/>
    <x v="1"/>
    <n v="310"/>
    <n v="42654"/>
    <n v="4.9800000000000004"/>
    <n v="9566"/>
    <n v="41652"/>
    <n v="2.4056467876692595E-2"/>
  </r>
  <r>
    <x v="0"/>
    <x v="2"/>
    <x v="2"/>
    <n v="169"/>
    <n v="146834"/>
    <n v="8.31"/>
    <n v="26752"/>
    <n v="146419"/>
    <n v="2.8343316099686518E-3"/>
  </r>
  <r>
    <x v="0"/>
    <x v="3"/>
    <x v="3"/>
    <n v="445"/>
    <n v="395536"/>
    <n v="4.1100000000000003"/>
    <n v="30671"/>
    <n v="394446"/>
    <n v="2.7633693838953876E-3"/>
  </r>
  <r>
    <x v="1"/>
    <x v="0"/>
    <x v="4"/>
    <n v="139"/>
    <n v="49157"/>
    <n v="9.0500000000000007"/>
    <n v="9920"/>
    <n v="48640"/>
    <n v="1.0629111842105262E-2"/>
  </r>
  <r>
    <x v="1"/>
    <x v="1"/>
    <x v="5"/>
    <n v="414"/>
    <n v="316555"/>
    <n v="2.37"/>
    <n v="7924"/>
    <n v="315272"/>
    <n v="4.06950189043112E-3"/>
  </r>
  <r>
    <x v="1"/>
    <x v="2"/>
    <x v="6"/>
    <n v="250"/>
    <n v="254347"/>
    <n v="4.01"/>
    <n v="8912"/>
    <n v="254161"/>
    <n v="7.3181959466637287E-4"/>
  </r>
  <r>
    <x v="1"/>
    <x v="3"/>
    <x v="7"/>
    <n v="203"/>
    <n v="413878"/>
    <n v="3.16"/>
    <n v="21205"/>
    <n v="412884"/>
    <n v="2.4074558471628834E-3"/>
  </r>
  <r>
    <x v="2"/>
    <x v="0"/>
    <x v="8"/>
    <n v="155"/>
    <n v="456946"/>
    <n v="2.46"/>
    <n v="11329"/>
    <n v="456053"/>
    <n v="1.9581057464812205E-3"/>
  </r>
  <r>
    <x v="2"/>
    <x v="1"/>
    <x v="9"/>
    <n v="371"/>
    <n v="169496"/>
    <n v="8.11"/>
    <n v="46670"/>
    <n v="168114"/>
    <n v="8.2206122036237311E-3"/>
  </r>
  <r>
    <x v="2"/>
    <x v="2"/>
    <x v="10"/>
    <n v="40"/>
    <n v="122732"/>
    <n v="8.19"/>
    <n v="22482"/>
    <n v="121437"/>
    <n v="1.0663965677676491E-2"/>
  </r>
  <r>
    <x v="2"/>
    <x v="3"/>
    <x v="11"/>
    <n v="66"/>
    <n v="382851"/>
    <n v="3.49"/>
    <n v="24313"/>
    <n v="382514"/>
    <n v="8.810135053880381E-4"/>
  </r>
  <r>
    <x v="3"/>
    <x v="0"/>
    <x v="12"/>
    <n v="282"/>
    <n v="35664"/>
    <n v="6.92"/>
    <n v="18050"/>
    <n v="35035"/>
    <n v="1.7953475096332241E-2"/>
  </r>
  <r>
    <x v="3"/>
    <x v="1"/>
    <x v="13"/>
    <n v="109"/>
    <n v="26295"/>
    <n v="9.1199999999999992"/>
    <n v="30635"/>
    <n v="24625"/>
    <n v="6.7817258883248729E-2"/>
  </r>
  <r>
    <x v="3"/>
    <x v="2"/>
    <x v="14"/>
    <n v="403"/>
    <n v="298421"/>
    <n v="3.5"/>
    <n v="31280"/>
    <n v="297586"/>
    <n v="2.8059115684205575E-3"/>
  </r>
  <r>
    <x v="3"/>
    <x v="3"/>
    <x v="15"/>
    <n v="431"/>
    <n v="426184"/>
    <n v="2.62"/>
    <n v="1783"/>
    <n v="426307"/>
    <n v="-2.8852446710938363E-4"/>
  </r>
  <r>
    <x v="4"/>
    <x v="0"/>
    <x v="16"/>
    <n v="445"/>
    <n v="419447"/>
    <n v="9.36"/>
    <n v="9566"/>
    <n v="419666"/>
    <n v="-5.2184356130827853E-4"/>
  </r>
  <r>
    <x v="4"/>
    <x v="1"/>
    <x v="17"/>
    <n v="441"/>
    <n v="220020"/>
    <n v="4.4800000000000004"/>
    <n v="42307"/>
    <n v="219956"/>
    <n v="2.9096728436596409E-4"/>
  </r>
  <r>
    <x v="4"/>
    <x v="2"/>
    <x v="18"/>
    <n v="63"/>
    <n v="315305"/>
    <n v="6.19"/>
    <n v="5914"/>
    <n v="313948"/>
    <n v="4.3223718577598842E-3"/>
  </r>
  <r>
    <x v="4"/>
    <x v="3"/>
    <x v="19"/>
    <n v="53"/>
    <n v="113678"/>
    <n v="8.7200000000000006"/>
    <n v="30060"/>
    <n v="113587"/>
    <n v="8.0114801869932302E-4"/>
  </r>
  <r>
    <x v="5"/>
    <x v="0"/>
    <x v="20"/>
    <n v="85"/>
    <n v="58223"/>
    <n v="8.74"/>
    <n v="22728"/>
    <n v="56551"/>
    <n v="2.9566232250534917E-2"/>
  </r>
  <r>
    <x v="5"/>
    <x v="1"/>
    <x v="21"/>
    <n v="41"/>
    <n v="251694"/>
    <n v="1.91"/>
    <n v="38610"/>
    <n v="251385"/>
    <n v="1.2291902858165761E-3"/>
  </r>
  <r>
    <x v="5"/>
    <x v="2"/>
    <x v="22"/>
    <n v="440"/>
    <n v="389810"/>
    <n v="4.66"/>
    <n v="2932"/>
    <n v="389263"/>
    <n v="1.4052196073091972E-3"/>
  </r>
  <r>
    <x v="5"/>
    <x v="3"/>
    <x v="23"/>
    <n v="369"/>
    <n v="233694"/>
    <n v="2.88"/>
    <n v="15071"/>
    <n v="233180"/>
    <n v="2.2043056865940474E-3"/>
  </r>
  <r>
    <x v="6"/>
    <x v="0"/>
    <x v="24"/>
    <n v="115"/>
    <n v="154169"/>
    <n v="3.74"/>
    <n v="10740"/>
    <n v="152324"/>
    <n v="1.2112339486883223E-2"/>
  </r>
  <r>
    <x v="6"/>
    <x v="1"/>
    <x v="25"/>
    <n v="334"/>
    <n v="334626"/>
    <n v="6.44"/>
    <n v="43420"/>
    <n v="334790"/>
    <n v="-4.8985931479434872E-4"/>
  </r>
  <r>
    <x v="6"/>
    <x v="2"/>
    <x v="26"/>
    <n v="275"/>
    <n v="226002"/>
    <n v="8.56"/>
    <n v="32393"/>
    <n v="225573"/>
    <n v="1.9018233565187323E-3"/>
  </r>
  <r>
    <x v="6"/>
    <x v="3"/>
    <x v="27"/>
    <n v="64"/>
    <n v="156683"/>
    <n v="4.5599999999999996"/>
    <n v="28474"/>
    <n v="156523"/>
    <n v="1.0222139877206545E-3"/>
  </r>
  <r>
    <x v="7"/>
    <x v="0"/>
    <x v="28"/>
    <n v="349"/>
    <n v="473812"/>
    <n v="7.88"/>
    <n v="17328"/>
    <n v="473653"/>
    <n v="3.3568878482771145E-4"/>
  </r>
  <r>
    <x v="7"/>
    <x v="1"/>
    <x v="29"/>
    <n v="430"/>
    <n v="295032"/>
    <n v="7.86"/>
    <n v="26067"/>
    <n v="294071"/>
    <n v="3.2679182918410859E-3"/>
  </r>
  <r>
    <x v="7"/>
    <x v="2"/>
    <x v="30"/>
    <n v="385"/>
    <n v="198278"/>
    <n v="5.34"/>
    <n v="32763"/>
    <n v="196962"/>
    <n v="6.6814918613742752E-3"/>
  </r>
  <r>
    <x v="7"/>
    <x v="3"/>
    <x v="31"/>
    <n v="487"/>
    <n v="306564"/>
    <n v="5.52"/>
    <n v="26452"/>
    <n v="306247"/>
    <n v="1.0351121806907496E-3"/>
  </r>
  <r>
    <x v="8"/>
    <x v="0"/>
    <x v="32"/>
    <n v="112"/>
    <n v="23664"/>
    <n v="4.05"/>
    <n v="15353"/>
    <n v="23123"/>
    <n v="2.3396618085888509E-2"/>
  </r>
  <r>
    <x v="8"/>
    <x v="1"/>
    <x v="33"/>
    <n v="478"/>
    <n v="435034"/>
    <n v="7.73"/>
    <n v="4839"/>
    <n v="435352"/>
    <n v="-7.3044341130855037E-4"/>
  </r>
  <r>
    <x v="8"/>
    <x v="2"/>
    <x v="34"/>
    <n v="261"/>
    <n v="287574"/>
    <n v="4.3600000000000003"/>
    <n v="39272"/>
    <n v="286079"/>
    <n v="5.2258292289891952E-3"/>
  </r>
  <r>
    <x v="8"/>
    <x v="3"/>
    <x v="35"/>
    <n v="101"/>
    <n v="62499"/>
    <n v="3.48"/>
    <n v="16804"/>
    <n v="62024"/>
    <n v="7.6583258093641171E-3"/>
  </r>
  <r>
    <x v="9"/>
    <x v="0"/>
    <x v="36"/>
    <n v="293"/>
    <n v="437968"/>
    <n v="7.83"/>
    <n v="49303"/>
    <n v="437616"/>
    <n v="8.0435815875105118E-4"/>
  </r>
  <r>
    <x v="9"/>
    <x v="1"/>
    <x v="37"/>
    <n v="411"/>
    <n v="125034"/>
    <n v="6.11"/>
    <n v="26455"/>
    <n v="125231"/>
    <n v="-1.573092924275938E-3"/>
  </r>
  <r>
    <x v="9"/>
    <x v="2"/>
    <x v="38"/>
    <n v="498"/>
    <n v="449994"/>
    <n v="9.43"/>
    <n v="12384"/>
    <n v="449666"/>
    <n v="7.294302882583962E-4"/>
  </r>
  <r>
    <x v="9"/>
    <x v="3"/>
    <x v="39"/>
    <n v="141"/>
    <n v="320650"/>
    <n v="4.04"/>
    <n v="49372"/>
    <n v="320331"/>
    <n v="9.9584492290786717E-4"/>
  </r>
  <r>
    <x v="10"/>
    <x v="0"/>
    <x v="40"/>
    <n v="203"/>
    <n v="489188"/>
    <n v="6.23"/>
    <n v="47101"/>
    <n v="487863"/>
    <n v="2.7159263973697534E-3"/>
  </r>
  <r>
    <x v="10"/>
    <x v="1"/>
    <x v="41"/>
    <n v="200"/>
    <n v="307612"/>
    <n v="6.01"/>
    <n v="37903"/>
    <n v="306278"/>
    <n v="4.3555201483619459E-3"/>
  </r>
  <r>
    <x v="10"/>
    <x v="2"/>
    <x v="42"/>
    <n v="448"/>
    <n v="434883"/>
    <n v="8.5500000000000007"/>
    <n v="33258"/>
    <n v="434846"/>
    <n v="8.5087594228761446E-5"/>
  </r>
  <r>
    <x v="10"/>
    <x v="3"/>
    <x v="43"/>
    <n v="178"/>
    <n v="102042"/>
    <n v="5.42"/>
    <n v="6915"/>
    <n v="101010"/>
    <n v="1.0216810216810217E-2"/>
  </r>
  <r>
    <x v="11"/>
    <x v="0"/>
    <x v="44"/>
    <n v="139"/>
    <n v="325444"/>
    <n v="3.25"/>
    <n v="35501"/>
    <n v="325368"/>
    <n v="2.3358166752723071E-4"/>
  </r>
  <r>
    <x v="11"/>
    <x v="1"/>
    <x v="45"/>
    <n v="20"/>
    <n v="183924"/>
    <n v="8.84"/>
    <n v="14203"/>
    <n v="182866"/>
    <n v="5.7856572572266033E-3"/>
  </r>
  <r>
    <x v="11"/>
    <x v="2"/>
    <x v="46"/>
    <n v="86"/>
    <n v="188655"/>
    <n v="7.24"/>
    <n v="22206"/>
    <n v="186990"/>
    <n v="8.9042194769773791E-3"/>
  </r>
  <r>
    <x v="11"/>
    <x v="3"/>
    <x v="47"/>
    <n v="31"/>
    <n v="87443"/>
    <n v="6.19"/>
    <n v="10283"/>
    <n v="87253"/>
    <n v="2.1775755561413363E-3"/>
  </r>
  <r>
    <x v="12"/>
    <x v="0"/>
    <x v="48"/>
    <n v="76"/>
    <n v="453799"/>
    <n v="5.71"/>
    <n v="24913"/>
    <n v="452190"/>
    <n v="3.5582387934275416E-3"/>
  </r>
  <r>
    <x v="12"/>
    <x v="1"/>
    <x v="49"/>
    <n v="211"/>
    <n v="379380"/>
    <n v="9.0399999999999991"/>
    <n v="26925"/>
    <n v="379343"/>
    <n v="9.7537057491505044E-5"/>
  </r>
  <r>
    <x v="12"/>
    <x v="2"/>
    <x v="50"/>
    <n v="71"/>
    <n v="186454"/>
    <n v="3.91"/>
    <n v="9942"/>
    <n v="185225"/>
    <n v="6.6351734377108921E-3"/>
  </r>
  <r>
    <x v="12"/>
    <x v="3"/>
    <x v="51"/>
    <n v="394"/>
    <n v="239044"/>
    <n v="7.83"/>
    <n v="32929"/>
    <n v="239016"/>
    <n v="1.1714696924055294E-4"/>
  </r>
  <r>
    <x v="13"/>
    <x v="0"/>
    <x v="52"/>
    <n v="182"/>
    <n v="101332"/>
    <n v="7.16"/>
    <n v="37829"/>
    <n v="100085"/>
    <n v="1.2459409501923365E-2"/>
  </r>
  <r>
    <x v="13"/>
    <x v="1"/>
    <x v="53"/>
    <n v="475"/>
    <n v="496982"/>
    <n v="6.41"/>
    <n v="24384"/>
    <n v="495937"/>
    <n v="2.1071224772501347E-3"/>
  </r>
  <r>
    <x v="13"/>
    <x v="2"/>
    <x v="54"/>
    <n v="360"/>
    <n v="318779"/>
    <n v="8.02"/>
    <n v="25797"/>
    <n v="318582"/>
    <n v="6.1836513048445924E-4"/>
  </r>
  <r>
    <x v="13"/>
    <x v="3"/>
    <x v="55"/>
    <n v="395"/>
    <n v="370971"/>
    <n v="3.86"/>
    <n v="12646"/>
    <n v="370638"/>
    <n v="8.9845077946675727E-4"/>
  </r>
  <r>
    <x v="14"/>
    <x v="0"/>
    <x v="56"/>
    <n v="20"/>
    <n v="378054"/>
    <n v="9.09"/>
    <n v="26663"/>
    <n v="376482"/>
    <n v="4.1754984302038341E-3"/>
  </r>
  <r>
    <x v="14"/>
    <x v="1"/>
    <x v="57"/>
    <n v="414"/>
    <n v="307524"/>
    <n v="1.76"/>
    <n v="40478"/>
    <n v="306096"/>
    <n v="4.6652030735455539E-3"/>
  </r>
  <r>
    <x v="14"/>
    <x v="2"/>
    <x v="58"/>
    <n v="491"/>
    <n v="434047"/>
    <n v="9.24"/>
    <n v="15476"/>
    <n v="433787"/>
    <n v="5.9937250309483687E-4"/>
  </r>
  <r>
    <x v="14"/>
    <x v="3"/>
    <x v="59"/>
    <n v="309"/>
    <n v="64583"/>
    <n v="8.99"/>
    <n v="10217"/>
    <n v="63483"/>
    <n v="1.7327473496841675E-2"/>
  </r>
  <r>
    <x v="15"/>
    <x v="0"/>
    <x v="60"/>
    <n v="401"/>
    <n v="50793"/>
    <n v="3.4"/>
    <n v="21939"/>
    <n v="50416"/>
    <n v="7.4777848302126308E-3"/>
  </r>
  <r>
    <x v="15"/>
    <x v="1"/>
    <x v="61"/>
    <n v="345"/>
    <n v="474162"/>
    <n v="9.1999999999999993"/>
    <n v="47462"/>
    <n v="474064"/>
    <n v="2.0672314286678591E-4"/>
  </r>
  <r>
    <x v="15"/>
    <x v="2"/>
    <x v="62"/>
    <n v="347"/>
    <n v="392355"/>
    <n v="8.59"/>
    <n v="30270"/>
    <n v="391230"/>
    <n v="2.8755463538072232E-3"/>
  </r>
  <r>
    <x v="15"/>
    <x v="3"/>
    <x v="63"/>
    <n v="155"/>
    <n v="119934"/>
    <n v="3.5"/>
    <n v="5442"/>
    <n v="119966"/>
    <n v="-2.6674224363569678E-4"/>
  </r>
  <r>
    <x v="16"/>
    <x v="0"/>
    <x v="64"/>
    <n v="151"/>
    <n v="422625"/>
    <n v="2.36"/>
    <n v="1083"/>
    <n v="421959"/>
    <n v="1.5783523991667436E-3"/>
  </r>
  <r>
    <x v="16"/>
    <x v="1"/>
    <x v="65"/>
    <n v="217"/>
    <n v="239753"/>
    <n v="7.36"/>
    <n v="11901"/>
    <n v="239772"/>
    <n v="-7.9241946515856736E-5"/>
  </r>
  <r>
    <x v="16"/>
    <x v="2"/>
    <x v="66"/>
    <n v="231"/>
    <n v="268516"/>
    <n v="8.5500000000000007"/>
    <n v="24018"/>
    <n v="266836"/>
    <n v="6.2960020387054219E-3"/>
  </r>
  <r>
    <x v="16"/>
    <x v="3"/>
    <x v="67"/>
    <n v="212"/>
    <n v="63177"/>
    <n v="8.1300000000000008"/>
    <n v="38883"/>
    <n v="62171"/>
    <n v="1.6181177719515528E-2"/>
  </r>
  <r>
    <x v="17"/>
    <x v="0"/>
    <x v="68"/>
    <n v="408"/>
    <n v="370269"/>
    <n v="3.3"/>
    <n v="30575"/>
    <n v="369244"/>
    <n v="2.7759421954046647E-3"/>
  </r>
  <r>
    <x v="17"/>
    <x v="1"/>
    <x v="69"/>
    <n v="429"/>
    <n v="453423"/>
    <n v="1.77"/>
    <n v="2315"/>
    <n v="453602"/>
    <n v="-3.9461907134448259E-4"/>
  </r>
  <r>
    <x v="17"/>
    <x v="2"/>
    <x v="70"/>
    <n v="153"/>
    <n v="64906"/>
    <n v="2.09"/>
    <n v="12148"/>
    <n v="64307"/>
    <n v="9.3146935792370964E-3"/>
  </r>
  <r>
    <x v="17"/>
    <x v="3"/>
    <x v="71"/>
    <n v="212"/>
    <n v="94360"/>
    <n v="7.36"/>
    <n v="36851"/>
    <n v="92654"/>
    <n v="1.8412588771126989E-2"/>
  </r>
  <r>
    <x v="18"/>
    <x v="0"/>
    <x v="72"/>
    <n v="67"/>
    <n v="187183"/>
    <n v="6.25"/>
    <n v="41215"/>
    <n v="185311"/>
    <n v="1.0101936744176006E-2"/>
  </r>
  <r>
    <x v="18"/>
    <x v="1"/>
    <x v="73"/>
    <n v="267"/>
    <n v="379363"/>
    <n v="1.75"/>
    <n v="43836"/>
    <n v="377701"/>
    <n v="4.400306062202642E-3"/>
  </r>
  <r>
    <x v="18"/>
    <x v="2"/>
    <x v="74"/>
    <n v="330"/>
    <n v="476486"/>
    <n v="4.97"/>
    <n v="4509"/>
    <n v="476379"/>
    <n v="2.2461107647482362E-4"/>
  </r>
  <r>
    <x v="18"/>
    <x v="3"/>
    <x v="75"/>
    <n v="189"/>
    <n v="117767"/>
    <n v="9.3000000000000007"/>
    <n v="27822"/>
    <n v="117649"/>
    <n v="1.0029834507730621E-3"/>
  </r>
  <r>
    <x v="19"/>
    <x v="0"/>
    <x v="76"/>
    <n v="303"/>
    <n v="388555"/>
    <n v="8.9"/>
    <n v="36397"/>
    <n v="387331"/>
    <n v="3.1600878834898319E-3"/>
  </r>
  <r>
    <x v="19"/>
    <x v="1"/>
    <x v="77"/>
    <n v="358"/>
    <n v="157599"/>
    <n v="3.88"/>
    <n v="7285"/>
    <n v="157314"/>
    <n v="1.8116632976086045E-3"/>
  </r>
  <r>
    <x v="19"/>
    <x v="2"/>
    <x v="78"/>
    <n v="221"/>
    <n v="309772"/>
    <n v="5.9"/>
    <n v="33174"/>
    <n v="309792"/>
    <n v="-6.45594463381882E-5"/>
  </r>
  <r>
    <x v="19"/>
    <x v="3"/>
    <x v="79"/>
    <n v="47"/>
    <n v="199178"/>
    <n v="1.53"/>
    <n v="6742"/>
    <n v="198811"/>
    <n v="1.8459743173164463E-3"/>
  </r>
  <r>
    <x v="20"/>
    <x v="0"/>
    <x v="80"/>
    <n v="441"/>
    <n v="357089"/>
    <n v="6.5"/>
    <n v="32478"/>
    <n v="356827"/>
    <n v="7.3424937014295445E-4"/>
  </r>
  <r>
    <x v="20"/>
    <x v="1"/>
    <x v="28"/>
    <n v="69"/>
    <n v="23492"/>
    <n v="3.16"/>
    <n v="42824"/>
    <n v="23053"/>
    <n v="1.904307465405804E-2"/>
  </r>
  <r>
    <x v="20"/>
    <x v="2"/>
    <x v="81"/>
    <n v="61"/>
    <n v="258287"/>
    <n v="8.25"/>
    <n v="21208"/>
    <n v="257651"/>
    <n v="2.4684553912074862E-3"/>
  </r>
  <r>
    <x v="20"/>
    <x v="3"/>
    <x v="82"/>
    <n v="223"/>
    <n v="256910"/>
    <n v="5.41"/>
    <n v="44321"/>
    <n v="255426"/>
    <n v="5.8099018893926222E-3"/>
  </r>
  <r>
    <x v="21"/>
    <x v="0"/>
    <x v="83"/>
    <n v="66"/>
    <n v="346522"/>
    <n v="5.85"/>
    <n v="13116"/>
    <n v="345946"/>
    <n v="1.6649997398437907E-3"/>
  </r>
  <r>
    <x v="21"/>
    <x v="1"/>
    <x v="84"/>
    <n v="473"/>
    <n v="209987"/>
    <n v="4.46"/>
    <n v="30214"/>
    <n v="209601"/>
    <n v="1.8415942672029236E-3"/>
  </r>
  <r>
    <x v="21"/>
    <x v="2"/>
    <x v="85"/>
    <n v="154"/>
    <n v="240550"/>
    <n v="5.22"/>
    <n v="15827"/>
    <n v="240513"/>
    <n v="1.538378382873275E-4"/>
  </r>
  <r>
    <x v="21"/>
    <x v="3"/>
    <x v="86"/>
    <n v="157"/>
    <n v="305827"/>
    <n v="1.99"/>
    <n v="46643"/>
    <n v="304170"/>
    <n v="5.4476115330242955E-3"/>
  </r>
  <r>
    <x v="22"/>
    <x v="0"/>
    <x v="87"/>
    <n v="69"/>
    <n v="54935"/>
    <n v="6.85"/>
    <n v="36484"/>
    <n v="53538"/>
    <n v="2.609361574956106E-2"/>
  </r>
  <r>
    <x v="22"/>
    <x v="1"/>
    <x v="88"/>
    <n v="407"/>
    <n v="319186"/>
    <n v="3.32"/>
    <n v="4996"/>
    <n v="318646"/>
    <n v="1.6946705748699183E-3"/>
  </r>
  <r>
    <x v="22"/>
    <x v="2"/>
    <x v="89"/>
    <n v="218"/>
    <n v="439080"/>
    <n v="5.68"/>
    <n v="36095"/>
    <n v="437477"/>
    <n v="3.6641926318412166E-3"/>
  </r>
  <r>
    <x v="22"/>
    <x v="3"/>
    <x v="90"/>
    <n v="463"/>
    <n v="258944"/>
    <n v="6.08"/>
    <n v="16443"/>
    <n v="257900"/>
    <n v="4.0480806514152775E-3"/>
  </r>
  <r>
    <x v="23"/>
    <x v="0"/>
    <x v="91"/>
    <n v="173"/>
    <n v="51395"/>
    <n v="4.66"/>
    <n v="47812"/>
    <n v="50493"/>
    <n v="1.7863862317548967E-2"/>
  </r>
  <r>
    <x v="23"/>
    <x v="1"/>
    <x v="92"/>
    <n v="277"/>
    <n v="309483"/>
    <n v="8.6999999999999993"/>
    <n v="38452"/>
    <n v="309589"/>
    <n v="-3.4238942598089728E-4"/>
  </r>
  <r>
    <x v="23"/>
    <x v="2"/>
    <x v="93"/>
    <n v="337"/>
    <n v="87305"/>
    <n v="2.46"/>
    <n v="30428"/>
    <n v="86155"/>
    <n v="1.3348035517381463E-2"/>
  </r>
  <r>
    <x v="23"/>
    <x v="3"/>
    <x v="94"/>
    <n v="105"/>
    <n v="121091"/>
    <n v="7.97"/>
    <n v="9269"/>
    <n v="120742"/>
    <n v="2.8904606516373756E-3"/>
  </r>
  <r>
    <x v="24"/>
    <x v="0"/>
    <x v="95"/>
    <n v="236"/>
    <n v="51087"/>
    <n v="9.41"/>
    <n v="29533"/>
    <n v="51136"/>
    <n v="-9.5822903629536917E-4"/>
  </r>
  <r>
    <x v="24"/>
    <x v="1"/>
    <x v="96"/>
    <n v="441"/>
    <n v="338847"/>
    <n v="2.68"/>
    <n v="39997"/>
    <n v="338775"/>
    <n v="2.1253044055789241E-4"/>
  </r>
  <r>
    <x v="24"/>
    <x v="2"/>
    <x v="97"/>
    <n v="183"/>
    <n v="487523"/>
    <n v="7.32"/>
    <n v="5391"/>
    <n v="487078"/>
    <n v="9.1361137230587303E-4"/>
  </r>
  <r>
    <x v="24"/>
    <x v="3"/>
    <x v="98"/>
    <n v="218"/>
    <n v="301695"/>
    <n v="4.68"/>
    <n v="22373"/>
    <n v="301635"/>
    <n v="1.9891590829976627E-4"/>
  </r>
  <r>
    <x v="25"/>
    <x v="0"/>
    <x v="99"/>
    <n v="161"/>
    <n v="282466"/>
    <n v="5.17"/>
    <n v="1810"/>
    <n v="280773"/>
    <n v="6.0297820659393885E-3"/>
  </r>
  <r>
    <x v="25"/>
    <x v="1"/>
    <x v="100"/>
    <n v="378"/>
    <n v="336661"/>
    <n v="6.2"/>
    <n v="28498"/>
    <n v="335329"/>
    <n v="3.9722183288650849E-3"/>
  </r>
  <r>
    <x v="25"/>
    <x v="2"/>
    <x v="101"/>
    <n v="232"/>
    <n v="88455"/>
    <n v="2.69"/>
    <n v="39530"/>
    <n v="88357"/>
    <n v="1.1091367973109091E-3"/>
  </r>
  <r>
    <x v="25"/>
    <x v="3"/>
    <x v="102"/>
    <n v="408"/>
    <n v="62535"/>
    <n v="8.9"/>
    <n v="37876"/>
    <n v="61650"/>
    <n v="1.4355231143552312E-2"/>
  </r>
  <r>
    <x v="26"/>
    <x v="0"/>
    <x v="103"/>
    <n v="71"/>
    <n v="421957"/>
    <n v="3.79"/>
    <n v="36103"/>
    <n v="420332"/>
    <n v="3.8659916446999038E-3"/>
  </r>
  <r>
    <x v="26"/>
    <x v="1"/>
    <x v="104"/>
    <n v="196"/>
    <n v="470269"/>
    <n v="4.79"/>
    <n v="26103"/>
    <n v="468563"/>
    <n v="3.6409191506798447E-3"/>
  </r>
  <r>
    <x v="26"/>
    <x v="2"/>
    <x v="105"/>
    <n v="268"/>
    <n v="309904"/>
    <n v="6.37"/>
    <n v="3455"/>
    <n v="308731"/>
    <n v="3.7994240941142936E-3"/>
  </r>
  <r>
    <x v="26"/>
    <x v="3"/>
    <x v="106"/>
    <n v="161"/>
    <n v="221274"/>
    <n v="2.65"/>
    <n v="40888"/>
    <n v="220983"/>
    <n v="1.3168433770923554E-3"/>
  </r>
  <r>
    <x v="27"/>
    <x v="0"/>
    <x v="107"/>
    <n v="375"/>
    <n v="220616"/>
    <n v="1.81"/>
    <n v="22724"/>
    <n v="219497"/>
    <n v="5.0980195629097436E-3"/>
  </r>
  <r>
    <x v="27"/>
    <x v="1"/>
    <x v="108"/>
    <n v="141"/>
    <n v="35842"/>
    <n v="7.47"/>
    <n v="18601"/>
    <n v="34469"/>
    <n v="3.9832893324436451E-2"/>
  </r>
  <r>
    <x v="27"/>
    <x v="2"/>
    <x v="109"/>
    <n v="210"/>
    <n v="20607"/>
    <n v="4.2"/>
    <n v="20861"/>
    <n v="18880"/>
    <n v="9.1472457627118642E-2"/>
  </r>
  <r>
    <x v="27"/>
    <x v="3"/>
    <x v="110"/>
    <n v="163"/>
    <n v="451894"/>
    <n v="5.43"/>
    <n v="46625"/>
    <n v="451321"/>
    <n v="1.2696063334079292E-3"/>
  </r>
  <r>
    <x v="28"/>
    <x v="0"/>
    <x v="111"/>
    <n v="70"/>
    <n v="465553"/>
    <n v="3.32"/>
    <n v="20692"/>
    <n v="464121"/>
    <n v="3.0854022981076056E-3"/>
  </r>
  <r>
    <x v="28"/>
    <x v="1"/>
    <x v="112"/>
    <n v="246"/>
    <n v="415815"/>
    <n v="8.11"/>
    <n v="18656"/>
    <n v="414438"/>
    <n v="3.3225717718935038E-3"/>
  </r>
  <r>
    <x v="28"/>
    <x v="2"/>
    <x v="56"/>
    <n v="233"/>
    <n v="327183"/>
    <n v="6.66"/>
    <n v="13316"/>
    <n v="325824"/>
    <n v="4.1709634649381259E-3"/>
  </r>
  <r>
    <x v="28"/>
    <x v="3"/>
    <x v="113"/>
    <n v="128"/>
    <n v="488901"/>
    <n v="8.09"/>
    <n v="49558"/>
    <n v="488025"/>
    <n v="1.7949900107576456E-3"/>
  </r>
  <r>
    <x v="29"/>
    <x v="0"/>
    <x v="114"/>
    <n v="408"/>
    <n v="280795"/>
    <n v="8.44"/>
    <n v="4683"/>
    <n v="280111"/>
    <n v="2.4418891082463737E-3"/>
  </r>
  <r>
    <x v="29"/>
    <x v="1"/>
    <x v="115"/>
    <n v="425"/>
    <n v="93347"/>
    <n v="2.02"/>
    <n v="47502"/>
    <n v="92617"/>
    <n v="7.8819223252750582E-3"/>
  </r>
  <r>
    <x v="29"/>
    <x v="2"/>
    <x v="116"/>
    <n v="226"/>
    <n v="81119"/>
    <n v="7.74"/>
    <n v="35359"/>
    <n v="80208"/>
    <n v="1.1357969279872333E-2"/>
  </r>
  <r>
    <x v="29"/>
    <x v="3"/>
    <x v="117"/>
    <n v="311"/>
    <n v="25177"/>
    <n v="2.89"/>
    <n v="14154"/>
    <n v="23588"/>
    <n v="6.7364761743259283E-2"/>
  </r>
  <r>
    <x v="30"/>
    <x v="0"/>
    <x v="86"/>
    <n v="49"/>
    <n v="140804"/>
    <n v="1.76"/>
    <n v="4313"/>
    <n v="139039"/>
    <n v="1.2694280022152058E-2"/>
  </r>
  <r>
    <x v="30"/>
    <x v="1"/>
    <x v="118"/>
    <n v="204"/>
    <n v="379431"/>
    <n v="3.09"/>
    <n v="25140"/>
    <n v="377655"/>
    <n v="4.7027048496643764E-3"/>
  </r>
  <r>
    <x v="30"/>
    <x v="2"/>
    <x v="119"/>
    <n v="257"/>
    <n v="274831"/>
    <n v="4.68"/>
    <n v="9118"/>
    <n v="273302"/>
    <n v="5.5945437647730353E-3"/>
  </r>
  <r>
    <x v="30"/>
    <x v="3"/>
    <x v="120"/>
    <n v="35"/>
    <n v="136845"/>
    <n v="4.4800000000000004"/>
    <n v="39931"/>
    <n v="135385"/>
    <n v="1.0784060272556044E-2"/>
  </r>
  <r>
    <x v="31"/>
    <x v="0"/>
    <x v="121"/>
    <n v="110"/>
    <n v="466382"/>
    <n v="5.3"/>
    <n v="37132"/>
    <n v="465479"/>
    <n v="1.9399371400213544E-3"/>
  </r>
  <r>
    <x v="31"/>
    <x v="1"/>
    <x v="122"/>
    <n v="196"/>
    <n v="95728"/>
    <n v="8.1999999999999993"/>
    <n v="17951"/>
    <n v="95108"/>
    <n v="6.51890482398957E-3"/>
  </r>
  <r>
    <x v="31"/>
    <x v="2"/>
    <x v="123"/>
    <n v="445"/>
    <n v="371156"/>
    <n v="2.2200000000000002"/>
    <n v="2798"/>
    <n v="369968"/>
    <n v="3.2110885265752712E-3"/>
  </r>
  <r>
    <x v="31"/>
    <x v="3"/>
    <x v="124"/>
    <n v="45"/>
    <n v="95410"/>
    <n v="8.33"/>
    <n v="15045"/>
    <n v="94564"/>
    <n v="8.9463220675944331E-3"/>
  </r>
  <r>
    <x v="32"/>
    <x v="0"/>
    <x v="125"/>
    <n v="133"/>
    <n v="349413"/>
    <n v="3.3"/>
    <n v="14548"/>
    <n v="347691"/>
    <n v="4.9526734945684533E-3"/>
  </r>
  <r>
    <x v="32"/>
    <x v="1"/>
    <x v="126"/>
    <n v="353"/>
    <n v="224699"/>
    <n v="5.61"/>
    <n v="45708"/>
    <n v="224401"/>
    <n v="1.3279798218368011E-3"/>
  </r>
  <r>
    <x v="32"/>
    <x v="2"/>
    <x v="127"/>
    <n v="262"/>
    <n v="487896"/>
    <n v="2.56"/>
    <n v="12350"/>
    <n v="488040"/>
    <n v="-2.9505778214900419E-4"/>
  </r>
  <r>
    <x v="32"/>
    <x v="3"/>
    <x v="128"/>
    <n v="430"/>
    <n v="14437"/>
    <n v="3.29"/>
    <n v="40868"/>
    <n v="13536"/>
    <n v="6.6563238770685582E-2"/>
  </r>
  <r>
    <x v="33"/>
    <x v="0"/>
    <x v="129"/>
    <n v="176"/>
    <n v="383681"/>
    <n v="9.24"/>
    <n v="43122"/>
    <n v="382109"/>
    <n v="4.1140093533520543E-3"/>
  </r>
  <r>
    <x v="33"/>
    <x v="1"/>
    <x v="130"/>
    <n v="236"/>
    <n v="479490"/>
    <n v="4.51"/>
    <n v="23853"/>
    <n v="479063"/>
    <n v="8.9132327063455119E-4"/>
  </r>
  <r>
    <x v="33"/>
    <x v="2"/>
    <x v="131"/>
    <n v="149"/>
    <n v="124404"/>
    <n v="5.23"/>
    <n v="45380"/>
    <n v="123513"/>
    <n v="7.2138155497801851E-3"/>
  </r>
  <r>
    <x v="33"/>
    <x v="3"/>
    <x v="132"/>
    <n v="442"/>
    <n v="336949"/>
    <n v="4.68"/>
    <n v="7705"/>
    <n v="336225"/>
    <n v="2.1533199494386201E-3"/>
  </r>
  <r>
    <x v="34"/>
    <x v="0"/>
    <x v="133"/>
    <n v="281"/>
    <n v="357265"/>
    <n v="9.23"/>
    <n v="25525"/>
    <n v="357431"/>
    <n v="-4.6442530166661538E-4"/>
  </r>
  <r>
    <x v="34"/>
    <x v="1"/>
    <x v="134"/>
    <n v="351"/>
    <n v="321307"/>
    <n v="6.37"/>
    <n v="20560"/>
    <n v="320409"/>
    <n v="2.8026678401667868E-3"/>
  </r>
  <r>
    <x v="34"/>
    <x v="2"/>
    <x v="135"/>
    <n v="75"/>
    <n v="262569"/>
    <n v="2.0099999999999998"/>
    <n v="19119"/>
    <n v="261143"/>
    <n v="5.4606097042616498E-3"/>
  </r>
  <r>
    <x v="34"/>
    <x v="3"/>
    <x v="136"/>
    <n v="186"/>
    <n v="461669"/>
    <n v="3.72"/>
    <n v="43999"/>
    <n v="460444"/>
    <n v="2.660475540999557E-3"/>
  </r>
  <r>
    <x v="35"/>
    <x v="0"/>
    <x v="137"/>
    <n v="476"/>
    <n v="351556"/>
    <n v="3.89"/>
    <n v="10825"/>
    <n v="350476"/>
    <n v="3.0815234138714207E-3"/>
  </r>
  <r>
    <x v="35"/>
    <x v="1"/>
    <x v="138"/>
    <n v="411"/>
    <n v="135987"/>
    <n v="8.6999999999999993"/>
    <n v="40323"/>
    <n v="135239"/>
    <n v="5.5309489126657251E-3"/>
  </r>
  <r>
    <x v="35"/>
    <x v="2"/>
    <x v="139"/>
    <n v="358"/>
    <n v="177554"/>
    <n v="6.95"/>
    <n v="48270"/>
    <n v="176985"/>
    <n v="3.2149617199197672E-3"/>
  </r>
  <r>
    <x v="35"/>
    <x v="3"/>
    <x v="140"/>
    <n v="355"/>
    <n v="270766"/>
    <n v="9.48"/>
    <n v="18001"/>
    <n v="270969"/>
    <n v="-7.4916318840900623E-4"/>
  </r>
  <r>
    <x v="36"/>
    <x v="0"/>
    <x v="141"/>
    <n v="234"/>
    <n v="222126"/>
    <n v="4.6100000000000003"/>
    <n v="3314"/>
    <n v="220403"/>
    <n v="7.8174979469426455E-3"/>
  </r>
  <r>
    <x v="36"/>
    <x v="1"/>
    <x v="142"/>
    <n v="382"/>
    <n v="309914"/>
    <n v="8.0299999999999994"/>
    <n v="23489"/>
    <n v="309002"/>
    <n v="2.951437207526165E-3"/>
  </r>
  <r>
    <x v="36"/>
    <x v="2"/>
    <x v="143"/>
    <n v="385"/>
    <n v="126582"/>
    <n v="6.99"/>
    <n v="42832"/>
    <n v="125380"/>
    <n v="9.5868559578880207E-3"/>
  </r>
  <r>
    <x v="36"/>
    <x v="3"/>
    <x v="82"/>
    <n v="263"/>
    <n v="485280"/>
    <n v="9.0299999999999994"/>
    <n v="24494"/>
    <n v="483836"/>
    <n v="2.9844823452574837E-3"/>
  </r>
  <r>
    <x v="37"/>
    <x v="0"/>
    <x v="144"/>
    <n v="173"/>
    <n v="453243"/>
    <n v="2.86"/>
    <n v="44097"/>
    <n v="452278"/>
    <n v="2.1336434670711376E-3"/>
  </r>
  <r>
    <x v="37"/>
    <x v="1"/>
    <x v="145"/>
    <n v="305"/>
    <n v="104967"/>
    <n v="3.85"/>
    <n v="31853"/>
    <n v="103377"/>
    <n v="1.5380597231492498E-2"/>
  </r>
  <r>
    <x v="37"/>
    <x v="2"/>
    <x v="146"/>
    <n v="399"/>
    <n v="145608"/>
    <n v="7.3"/>
    <n v="37636"/>
    <n v="145645"/>
    <n v="-2.5404236328057951E-4"/>
  </r>
  <r>
    <x v="37"/>
    <x v="3"/>
    <x v="147"/>
    <n v="487"/>
    <n v="105980"/>
    <n v="9.08"/>
    <n v="22996"/>
    <n v="104805"/>
    <n v="1.1211297170936501E-2"/>
  </r>
  <r>
    <x v="38"/>
    <x v="0"/>
    <x v="148"/>
    <n v="65"/>
    <n v="126524"/>
    <n v="4.34"/>
    <n v="49772"/>
    <n v="125149"/>
    <n v="1.0986903610895812E-2"/>
  </r>
  <r>
    <x v="38"/>
    <x v="1"/>
    <x v="149"/>
    <n v="177"/>
    <n v="230448"/>
    <n v="7.8"/>
    <n v="22713"/>
    <n v="228741"/>
    <n v="7.4625886920141118E-3"/>
  </r>
  <r>
    <x v="38"/>
    <x v="2"/>
    <x v="150"/>
    <n v="153"/>
    <n v="317007"/>
    <n v="3.85"/>
    <n v="8718"/>
    <n v="316299"/>
    <n v="2.2383883603805262E-3"/>
  </r>
  <r>
    <x v="38"/>
    <x v="3"/>
    <x v="151"/>
    <n v="47"/>
    <n v="464239"/>
    <n v="6.58"/>
    <n v="39031"/>
    <n v="463223"/>
    <n v="2.1933280515000334E-3"/>
  </r>
  <r>
    <x v="39"/>
    <x v="0"/>
    <x v="152"/>
    <n v="56"/>
    <n v="257579"/>
    <n v="8.6199999999999992"/>
    <n v="33799"/>
    <n v="256264"/>
    <n v="5.1314269659413726E-3"/>
  </r>
  <r>
    <x v="39"/>
    <x v="1"/>
    <x v="153"/>
    <n v="464"/>
    <n v="366881"/>
    <n v="4.55"/>
    <n v="20553"/>
    <n v="367000"/>
    <n v="-3.242506811989101E-4"/>
  </r>
  <r>
    <x v="39"/>
    <x v="2"/>
    <x v="154"/>
    <n v="47"/>
    <n v="466575"/>
    <n v="8.33"/>
    <n v="10002"/>
    <n v="465676"/>
    <n v="1.9305268040440133E-3"/>
  </r>
  <r>
    <x v="39"/>
    <x v="3"/>
    <x v="155"/>
    <n v="195"/>
    <n v="224534"/>
    <n v="9.4"/>
    <n v="30987"/>
    <n v="224219"/>
    <n v="1.4048764823676851E-3"/>
  </r>
  <r>
    <x v="40"/>
    <x v="0"/>
    <x v="156"/>
    <n v="181"/>
    <n v="462142"/>
    <n v="7.23"/>
    <n v="6296"/>
    <n v="461930"/>
    <n v="4.5894399584352609E-4"/>
  </r>
  <r>
    <x v="40"/>
    <x v="1"/>
    <x v="157"/>
    <n v="190"/>
    <n v="340842"/>
    <n v="9.39"/>
    <n v="21539"/>
    <n v="339934"/>
    <n v="2.6711067442503544E-3"/>
  </r>
  <r>
    <x v="40"/>
    <x v="2"/>
    <x v="158"/>
    <n v="49"/>
    <n v="12471"/>
    <n v="5.12"/>
    <n v="14722"/>
    <n v="11121"/>
    <n v="0.12139196115457243"/>
  </r>
  <r>
    <x v="40"/>
    <x v="3"/>
    <x v="159"/>
    <n v="416"/>
    <n v="98397"/>
    <n v="6.11"/>
    <n v="11383"/>
    <n v="97155"/>
    <n v="1.2783696155627605E-2"/>
  </r>
  <r>
    <x v="41"/>
    <x v="0"/>
    <x v="160"/>
    <n v="422"/>
    <n v="410330"/>
    <n v="7.74"/>
    <n v="9480"/>
    <n v="409650"/>
    <n v="1.6599536189430002E-3"/>
  </r>
  <r>
    <x v="41"/>
    <x v="1"/>
    <x v="161"/>
    <n v="242"/>
    <n v="342129"/>
    <n v="4.9400000000000004"/>
    <n v="29116"/>
    <n v="341013"/>
    <n v="3.2726025107547218E-3"/>
  </r>
  <r>
    <x v="41"/>
    <x v="2"/>
    <x v="162"/>
    <n v="216"/>
    <n v="12447"/>
    <n v="1.8"/>
    <n v="14068"/>
    <n v="11586"/>
    <n v="7.4313827032625582E-2"/>
  </r>
  <r>
    <x v="41"/>
    <x v="3"/>
    <x v="163"/>
    <n v="211"/>
    <n v="17380"/>
    <n v="8.64"/>
    <n v="35801"/>
    <n v="15995"/>
    <n v="8.6589559237261637E-2"/>
  </r>
  <r>
    <x v="42"/>
    <x v="0"/>
    <x v="164"/>
    <n v="29"/>
    <n v="364810"/>
    <n v="1.53"/>
    <n v="49077"/>
    <n v="364349"/>
    <n v="1.2652703863603304E-3"/>
  </r>
  <r>
    <x v="42"/>
    <x v="1"/>
    <x v="165"/>
    <n v="135"/>
    <n v="373606"/>
    <n v="8.52"/>
    <n v="21453"/>
    <n v="373132"/>
    <n v="1.2703279268462635E-3"/>
  </r>
  <r>
    <x v="42"/>
    <x v="2"/>
    <x v="166"/>
    <n v="72"/>
    <n v="211090"/>
    <n v="5.53"/>
    <n v="21061"/>
    <n v="210798"/>
    <n v="1.3852123834191975E-3"/>
  </r>
  <r>
    <x v="42"/>
    <x v="3"/>
    <x v="167"/>
    <n v="53"/>
    <n v="441931"/>
    <n v="1.87"/>
    <n v="20059"/>
    <n v="441542"/>
    <n v="8.8100339265573832E-4"/>
  </r>
  <r>
    <x v="43"/>
    <x v="0"/>
    <x v="168"/>
    <n v="392"/>
    <n v="282780"/>
    <n v="6.27"/>
    <n v="23140"/>
    <n v="282139"/>
    <n v="2.2719297934705941E-3"/>
  </r>
  <r>
    <x v="43"/>
    <x v="1"/>
    <x v="169"/>
    <n v="474"/>
    <n v="370070"/>
    <n v="9.4600000000000009"/>
    <n v="23461"/>
    <n v="369556"/>
    <n v="1.3908582190520517E-3"/>
  </r>
  <r>
    <x v="43"/>
    <x v="2"/>
    <x v="170"/>
    <n v="270"/>
    <n v="198350"/>
    <n v="7.5"/>
    <n v="11805"/>
    <n v="196674"/>
    <n v="8.5217161393981913E-3"/>
  </r>
  <r>
    <x v="43"/>
    <x v="3"/>
    <x v="141"/>
    <n v="490"/>
    <n v="435726"/>
    <n v="4.7300000000000004"/>
    <n v="15969"/>
    <n v="434259"/>
    <n v="3.3781683281175518E-3"/>
  </r>
  <r>
    <x v="44"/>
    <x v="0"/>
    <x v="171"/>
    <n v="392"/>
    <n v="78789"/>
    <n v="3.19"/>
    <n v="2436"/>
    <n v="78622"/>
    <n v="2.1240874055607844E-3"/>
  </r>
  <r>
    <x v="44"/>
    <x v="1"/>
    <x v="172"/>
    <n v="278"/>
    <n v="98596"/>
    <n v="2.4900000000000002"/>
    <n v="47603"/>
    <n v="97567"/>
    <n v="1.0546598747527339E-2"/>
  </r>
  <r>
    <x v="44"/>
    <x v="2"/>
    <x v="173"/>
    <n v="425"/>
    <n v="29589"/>
    <n v="4.5"/>
    <n v="42964"/>
    <n v="28582"/>
    <n v="3.5231964173255893E-2"/>
  </r>
  <r>
    <x v="44"/>
    <x v="3"/>
    <x v="174"/>
    <n v="414"/>
    <n v="290354"/>
    <n v="6.49"/>
    <n v="39923"/>
    <n v="290145"/>
    <n v="7.2032949042720017E-4"/>
  </r>
  <r>
    <x v="45"/>
    <x v="0"/>
    <x v="65"/>
    <n v="358"/>
    <n v="66682"/>
    <n v="6.73"/>
    <n v="2293"/>
    <n v="66842"/>
    <n v="-2.3937045570150504E-3"/>
  </r>
  <r>
    <x v="45"/>
    <x v="1"/>
    <x v="65"/>
    <n v="373"/>
    <n v="70707"/>
    <n v="4.83"/>
    <n v="25920"/>
    <n v="70882"/>
    <n v="-2.4688919612877742E-3"/>
  </r>
  <r>
    <x v="45"/>
    <x v="2"/>
    <x v="175"/>
    <n v="300"/>
    <n v="142507"/>
    <n v="5.3"/>
    <n v="11035"/>
    <n v="142454"/>
    <n v="3.7204992488803405E-4"/>
  </r>
  <r>
    <x v="45"/>
    <x v="3"/>
    <x v="176"/>
    <n v="375"/>
    <n v="369525"/>
    <n v="6.54"/>
    <n v="20733"/>
    <n v="369380"/>
    <n v="3.9254967783854025E-4"/>
  </r>
  <r>
    <x v="46"/>
    <x v="0"/>
    <x v="177"/>
    <n v="358"/>
    <n v="62942"/>
    <n v="6.8"/>
    <n v="18693"/>
    <n v="62339"/>
    <n v="9.6729174353133666E-3"/>
  </r>
  <r>
    <x v="46"/>
    <x v="1"/>
    <x v="178"/>
    <n v="330"/>
    <n v="377382"/>
    <n v="2.6"/>
    <n v="7875"/>
    <n v="376337"/>
    <n v="2.7767665682619565E-3"/>
  </r>
  <r>
    <x v="46"/>
    <x v="2"/>
    <x v="179"/>
    <n v="388"/>
    <n v="333851"/>
    <n v="2.44"/>
    <n v="8471"/>
    <n v="333092"/>
    <n v="2.2786497424135072E-3"/>
  </r>
  <r>
    <x v="46"/>
    <x v="3"/>
    <x v="82"/>
    <n v="74"/>
    <n v="270958"/>
    <n v="3.09"/>
    <n v="14090"/>
    <n v="269325"/>
    <n v="6.0633064141836068E-3"/>
  </r>
  <r>
    <x v="47"/>
    <x v="0"/>
    <x v="180"/>
    <n v="154"/>
    <n v="445944"/>
    <n v="5.69"/>
    <n v="14216"/>
    <n v="444405"/>
    <n v="3.4630573463394878E-3"/>
  </r>
  <r>
    <x v="47"/>
    <x v="1"/>
    <x v="181"/>
    <n v="380"/>
    <n v="224830"/>
    <n v="3.86"/>
    <n v="3582"/>
    <n v="224377"/>
    <n v="2.0189235082027123E-3"/>
  </r>
  <r>
    <x v="47"/>
    <x v="2"/>
    <x v="182"/>
    <n v="274"/>
    <n v="487289"/>
    <n v="3.16"/>
    <n v="32500"/>
    <n v="486341"/>
    <n v="1.9492496005888871E-3"/>
  </r>
  <r>
    <x v="47"/>
    <x v="3"/>
    <x v="183"/>
    <n v="140"/>
    <n v="11435"/>
    <n v="1.6"/>
    <n v="6832"/>
    <n v="10798"/>
    <n v="5.8992406001111317E-2"/>
  </r>
  <r>
    <x v="48"/>
    <x v="0"/>
    <x v="141"/>
    <n v="76"/>
    <n v="447902"/>
    <n v="6.09"/>
    <n v="33381"/>
    <n v="446021"/>
    <n v="4.2172902172767646E-3"/>
  </r>
  <r>
    <x v="48"/>
    <x v="1"/>
    <x v="184"/>
    <n v="66"/>
    <n v="418696"/>
    <n v="5.59"/>
    <n v="48419"/>
    <n v="418357"/>
    <n v="8.1031272334393834E-4"/>
  </r>
  <r>
    <x v="48"/>
    <x v="2"/>
    <x v="185"/>
    <n v="71"/>
    <n v="484364"/>
    <n v="3.55"/>
    <n v="16149"/>
    <n v="482854"/>
    <n v="3.1272392897231877E-3"/>
  </r>
  <r>
    <x v="48"/>
    <x v="3"/>
    <x v="186"/>
    <n v="171"/>
    <n v="148477"/>
    <n v="5.21"/>
    <n v="7541"/>
    <n v="147613"/>
    <n v="5.8531430158590371E-3"/>
  </r>
  <r>
    <x v="49"/>
    <x v="0"/>
    <x v="187"/>
    <n v="109"/>
    <n v="468301"/>
    <n v="1.82"/>
    <n v="20042"/>
    <n v="466645"/>
    <n v="3.5487361913231685E-3"/>
  </r>
  <r>
    <x v="49"/>
    <x v="1"/>
    <x v="188"/>
    <n v="430"/>
    <n v="364820"/>
    <n v="4"/>
    <n v="49400"/>
    <n v="364413"/>
    <n v="1.1168646563102854E-3"/>
  </r>
  <r>
    <x v="49"/>
    <x v="2"/>
    <x v="189"/>
    <n v="68"/>
    <n v="456298"/>
    <n v="7.57"/>
    <n v="4007"/>
    <n v="456029"/>
    <n v="5.8987476673632601E-4"/>
  </r>
  <r>
    <x v="49"/>
    <x v="3"/>
    <x v="190"/>
    <n v="456"/>
    <n v="82558"/>
    <n v="6.81"/>
    <n v="12174"/>
    <n v="82895"/>
    <n v="-4.0653839194161288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x v="0"/>
    <x v="0"/>
    <s v="Check out our latest reel on twitter!"/>
    <n v="1461"/>
    <n v="184"/>
    <n v="344"/>
    <n v="21915"/>
    <n v="21675"/>
    <n v="15"/>
    <x v="0"/>
    <x v="0"/>
    <n v="9.0759753593429152E-2"/>
  </r>
  <r>
    <x v="1"/>
    <x v="0"/>
    <x v="1"/>
    <x v="1"/>
    <s v="Check out our latest text on twitter!"/>
    <n v="4054"/>
    <n v="389"/>
    <n v="493"/>
    <n v="64864"/>
    <n v="64383"/>
    <n v="117"/>
    <x v="1"/>
    <x v="1"/>
    <n v="7.6097681302417369E-2"/>
  </r>
  <r>
    <x v="2"/>
    <x v="1"/>
    <x v="2"/>
    <x v="0"/>
    <s v="Check out our latest reel on youtube!"/>
    <n v="2795"/>
    <n v="105"/>
    <n v="49"/>
    <n v="53105"/>
    <n v="52307"/>
    <n v="204"/>
    <x v="1"/>
    <x v="2"/>
    <n v="5.5531494209584788E-2"/>
  </r>
  <r>
    <x v="3"/>
    <x v="2"/>
    <x v="3"/>
    <x v="2"/>
    <s v="Check out our latest story on instagram!"/>
    <n v="2404"/>
    <n v="363"/>
    <n v="138"/>
    <n v="19232"/>
    <n v="18636"/>
    <n v="128"/>
    <x v="2"/>
    <x v="3"/>
    <n v="0.15105033277870217"/>
  </r>
  <r>
    <x v="4"/>
    <x v="1"/>
    <x v="4"/>
    <x v="0"/>
    <s v="Check out our latest reel on youtube!"/>
    <n v="3557"/>
    <n v="687"/>
    <n v="424"/>
    <n v="71140"/>
    <n v="70701"/>
    <n v="224"/>
    <x v="2"/>
    <x v="0"/>
    <n v="6.5617093055946027E-2"/>
  </r>
  <r>
    <x v="5"/>
    <x v="3"/>
    <x v="5"/>
    <x v="3"/>
    <s v="Check out our latest carousel on facebook!"/>
    <n v="2945"/>
    <n v="930"/>
    <n v="355"/>
    <n v="23560"/>
    <n v="23275"/>
    <n v="256"/>
    <x v="1"/>
    <x v="1"/>
    <n v="0.17954159592529711"/>
  </r>
  <r>
    <x v="6"/>
    <x v="0"/>
    <x v="6"/>
    <x v="3"/>
    <s v="Check out our latest carousel on twitter!"/>
    <n v="3860"/>
    <n v="201"/>
    <n v="279"/>
    <n v="61760"/>
    <n v="61660"/>
    <n v="235"/>
    <x v="1"/>
    <x v="1"/>
    <n v="7.0272020725388601E-2"/>
  </r>
  <r>
    <x v="7"/>
    <x v="1"/>
    <x v="7"/>
    <x v="4"/>
    <s v="Check out our latest image on youtube!"/>
    <n v="3929"/>
    <n v="262"/>
    <n v="278"/>
    <n v="43219"/>
    <n v="42841"/>
    <n v="39"/>
    <x v="2"/>
    <x v="3"/>
    <n v="0.10340359564080613"/>
  </r>
  <r>
    <x v="8"/>
    <x v="3"/>
    <x v="8"/>
    <x v="1"/>
    <s v="Check out our latest text on facebook!"/>
    <n v="3784"/>
    <n v="808"/>
    <n v="404"/>
    <n v="56760"/>
    <n v="56343"/>
    <n v="131"/>
    <x v="1"/>
    <x v="1"/>
    <n v="8.8019732205778717E-2"/>
  </r>
  <r>
    <x v="9"/>
    <x v="3"/>
    <x v="9"/>
    <x v="4"/>
    <s v="Check out our latest image on facebook!"/>
    <n v="4241"/>
    <n v="902"/>
    <n v="47"/>
    <n v="72097"/>
    <n v="71598"/>
    <n v="167"/>
    <x v="1"/>
    <x v="1"/>
    <n v="7.198635172059864E-2"/>
  </r>
  <r>
    <x v="10"/>
    <x v="2"/>
    <x v="10"/>
    <x v="2"/>
    <s v="Check out our latest story on instagram!"/>
    <n v="1792"/>
    <n v="614"/>
    <n v="497"/>
    <n v="25088"/>
    <n v="24675"/>
    <n v="65"/>
    <x v="0"/>
    <x v="3"/>
    <n v="0.11571269132653061"/>
  </r>
  <r>
    <x v="11"/>
    <x v="3"/>
    <x v="11"/>
    <x v="0"/>
    <s v="Check out our latest reel on facebook!"/>
    <n v="1946"/>
    <n v="686"/>
    <n v="377"/>
    <n v="23352"/>
    <n v="22982"/>
    <n v="213"/>
    <x v="0"/>
    <x v="2"/>
    <n v="0.12885405960945528"/>
  </r>
  <r>
    <x v="12"/>
    <x v="1"/>
    <x v="12"/>
    <x v="3"/>
    <s v="Check out our latest carousel on youtube!"/>
    <n v="1171"/>
    <n v="286"/>
    <n v="231"/>
    <n v="22249"/>
    <n v="21282"/>
    <n v="114"/>
    <x v="2"/>
    <x v="0"/>
    <n v="7.5868578363072495E-2"/>
  </r>
  <r>
    <x v="13"/>
    <x v="3"/>
    <x v="13"/>
    <x v="5"/>
    <s v="Check out our latest video on facebook!"/>
    <n v="3888"/>
    <n v="604"/>
    <n v="128"/>
    <n v="77760"/>
    <n v="77167"/>
    <n v="20"/>
    <x v="0"/>
    <x v="0"/>
    <n v="5.941358024691358E-2"/>
  </r>
  <r>
    <x v="14"/>
    <x v="3"/>
    <x v="14"/>
    <x v="1"/>
    <s v="Check out our latest text on facebook!"/>
    <n v="3452"/>
    <n v="377"/>
    <n v="360"/>
    <n v="55232"/>
    <n v="55075"/>
    <n v="87"/>
    <x v="0"/>
    <x v="2"/>
    <n v="7.5843713789107758E-2"/>
  </r>
  <r>
    <x v="15"/>
    <x v="3"/>
    <x v="15"/>
    <x v="1"/>
    <s v="Check out our latest text on facebook!"/>
    <n v="4441"/>
    <n v="511"/>
    <n v="70"/>
    <n v="53292"/>
    <n v="53082"/>
    <n v="159"/>
    <x v="2"/>
    <x v="3"/>
    <n v="9.4235532537716729E-2"/>
  </r>
  <r>
    <x v="16"/>
    <x v="2"/>
    <x v="16"/>
    <x v="0"/>
    <s v="Check out our latest reel on instagram!"/>
    <n v="3000"/>
    <n v="382"/>
    <n v="325"/>
    <n v="36000"/>
    <n v="35819"/>
    <n v="19"/>
    <x v="0"/>
    <x v="0"/>
    <n v="0.10297222222222223"/>
  </r>
  <r>
    <x v="17"/>
    <x v="2"/>
    <x v="17"/>
    <x v="5"/>
    <s v="Check out our latest video on instagram!"/>
    <n v="1071"/>
    <n v="519"/>
    <n v="22"/>
    <n v="16065"/>
    <n v="15865"/>
    <n v="103"/>
    <x v="1"/>
    <x v="3"/>
    <n v="0.10034235916588857"/>
  </r>
  <r>
    <x v="18"/>
    <x v="2"/>
    <x v="18"/>
    <x v="3"/>
    <s v="Check out our latest carousel on instagram!"/>
    <n v="4054"/>
    <n v="488"/>
    <n v="373"/>
    <n v="77026"/>
    <n v="76881"/>
    <n v="25"/>
    <x v="1"/>
    <x v="0"/>
    <n v="6.3809622724794221E-2"/>
  </r>
  <r>
    <x v="19"/>
    <x v="2"/>
    <x v="19"/>
    <x v="0"/>
    <s v="Check out our latest reel on instagram!"/>
    <n v="4838"/>
    <n v="640"/>
    <n v="128"/>
    <n v="72570"/>
    <n v="72396"/>
    <n v="83"/>
    <x v="0"/>
    <x v="3"/>
    <n v="7.7249552156538517E-2"/>
  </r>
  <r>
    <x v="20"/>
    <x v="3"/>
    <x v="20"/>
    <x v="1"/>
    <s v="Check out our latest text on facebook!"/>
    <n v="1570"/>
    <n v="187"/>
    <n v="260"/>
    <n v="25120"/>
    <n v="24613"/>
    <n v="133"/>
    <x v="1"/>
    <x v="3"/>
    <n v="8.0294585987261149E-2"/>
  </r>
  <r>
    <x v="21"/>
    <x v="3"/>
    <x v="21"/>
    <x v="5"/>
    <s v="Check out our latest video on facebook!"/>
    <n v="1606"/>
    <n v="547"/>
    <n v="316"/>
    <n v="32120"/>
    <n v="31736"/>
    <n v="225"/>
    <x v="1"/>
    <x v="1"/>
    <n v="7.6867995018679955E-2"/>
  </r>
  <r>
    <x v="22"/>
    <x v="3"/>
    <x v="22"/>
    <x v="5"/>
    <s v="Check out our latest video on facebook!"/>
    <n v="3961"/>
    <n v="761"/>
    <n v="131"/>
    <n v="67337"/>
    <n v="66615"/>
    <n v="161"/>
    <x v="0"/>
    <x v="2"/>
    <n v="7.2070332803659209E-2"/>
  </r>
  <r>
    <x v="23"/>
    <x v="1"/>
    <x v="23"/>
    <x v="0"/>
    <s v="Check out our latest reel on youtube!"/>
    <n v="3009"/>
    <n v="413"/>
    <n v="358"/>
    <n v="42126"/>
    <n v="41309"/>
    <n v="211"/>
    <x v="0"/>
    <x v="1"/>
    <n v="8.9730807577268201E-2"/>
  </r>
  <r>
    <x v="24"/>
    <x v="1"/>
    <x v="24"/>
    <x v="1"/>
    <s v="Check out our latest text on youtube!"/>
    <n v="2076"/>
    <n v="195"/>
    <n v="104"/>
    <n v="33216"/>
    <n v="32244"/>
    <n v="51"/>
    <x v="0"/>
    <x v="3"/>
    <n v="7.1501685934489398E-2"/>
  </r>
  <r>
    <x v="25"/>
    <x v="2"/>
    <x v="25"/>
    <x v="5"/>
    <s v="Check out our latest video on instagram!"/>
    <n v="432"/>
    <n v="624"/>
    <n v="123"/>
    <n v="6912"/>
    <n v="6259"/>
    <n v="79"/>
    <x v="0"/>
    <x v="3"/>
    <n v="0.17057291666666666"/>
  </r>
  <r>
    <x v="26"/>
    <x v="2"/>
    <x v="26"/>
    <x v="3"/>
    <s v="Check out our latest carousel on instagram!"/>
    <n v="2566"/>
    <n v="118"/>
    <n v="37"/>
    <n v="12830"/>
    <n v="12264"/>
    <n v="221"/>
    <x v="0"/>
    <x v="2"/>
    <n v="0.21208106001558846"/>
  </r>
  <r>
    <x v="27"/>
    <x v="2"/>
    <x v="27"/>
    <x v="1"/>
    <s v="Check out our latest text on instagram!"/>
    <n v="438"/>
    <n v="153"/>
    <n v="275"/>
    <n v="3066"/>
    <n v="2701"/>
    <n v="282"/>
    <x v="1"/>
    <x v="1"/>
    <n v="0.28245270711024134"/>
  </r>
  <r>
    <x v="28"/>
    <x v="0"/>
    <x v="28"/>
    <x v="3"/>
    <s v="Check out our latest carousel on twitter!"/>
    <n v="2278"/>
    <n v="10"/>
    <n v="321"/>
    <n v="13668"/>
    <n v="12676"/>
    <n v="275"/>
    <x v="2"/>
    <x v="0"/>
    <n v="0.19088381621305239"/>
  </r>
  <r>
    <x v="29"/>
    <x v="3"/>
    <x v="29"/>
    <x v="4"/>
    <s v="Check out our latest image on facebook!"/>
    <n v="1407"/>
    <n v="400"/>
    <n v="351"/>
    <n v="16884"/>
    <n v="15954"/>
    <n v="113"/>
    <x v="1"/>
    <x v="0"/>
    <n v="0.12781331438047855"/>
  </r>
  <r>
    <x v="30"/>
    <x v="3"/>
    <x v="30"/>
    <x v="1"/>
    <s v="Check out our latest text on facebook!"/>
    <n v="1652"/>
    <n v="89"/>
    <n v="357"/>
    <n v="29736"/>
    <n v="28771"/>
    <n v="215"/>
    <x v="1"/>
    <x v="2"/>
    <n v="7.055421038471886E-2"/>
  </r>
  <r>
    <x v="31"/>
    <x v="2"/>
    <x v="31"/>
    <x v="5"/>
    <s v="Check out our latest video on instagram!"/>
    <n v="3775"/>
    <n v="16"/>
    <n v="239"/>
    <n v="33975"/>
    <n v="33310"/>
    <n v="271"/>
    <x v="0"/>
    <x v="1"/>
    <n v="0.11861662987490802"/>
  </r>
  <r>
    <x v="32"/>
    <x v="2"/>
    <x v="32"/>
    <x v="2"/>
    <s v="Check out our latest story on instagram!"/>
    <n v="4518"/>
    <n v="285"/>
    <n v="383"/>
    <n v="67770"/>
    <n v="67621"/>
    <n v="31"/>
    <x v="2"/>
    <x v="1"/>
    <n v="7.6523535487678915E-2"/>
  </r>
  <r>
    <x v="33"/>
    <x v="3"/>
    <x v="33"/>
    <x v="3"/>
    <s v="Check out our latest carousel on facebook!"/>
    <n v="3024"/>
    <n v="925"/>
    <n v="350"/>
    <n v="24192"/>
    <n v="23518"/>
    <n v="36"/>
    <x v="2"/>
    <x v="1"/>
    <n v="0.17770337301587302"/>
  </r>
  <r>
    <x v="34"/>
    <x v="1"/>
    <x v="34"/>
    <x v="0"/>
    <s v="Check out our latest reel on youtube!"/>
    <n v="3138"/>
    <n v="123"/>
    <n v="291"/>
    <n v="28242"/>
    <n v="27550"/>
    <n v="87"/>
    <x v="1"/>
    <x v="3"/>
    <n v="0.12577012959422137"/>
  </r>
  <r>
    <x v="35"/>
    <x v="0"/>
    <x v="35"/>
    <x v="4"/>
    <s v="Check out our latest image on twitter!"/>
    <n v="4750"/>
    <n v="151"/>
    <n v="415"/>
    <n v="38000"/>
    <n v="37792"/>
    <n v="299"/>
    <x v="2"/>
    <x v="3"/>
    <n v="0.13989473684210527"/>
  </r>
  <r>
    <x v="36"/>
    <x v="2"/>
    <x v="36"/>
    <x v="0"/>
    <s v="Check out our latest reel on instagram!"/>
    <n v="456"/>
    <n v="629"/>
    <n v="428"/>
    <n v="8208"/>
    <n v="7377"/>
    <n v="205"/>
    <x v="0"/>
    <x v="3"/>
    <n v="0.18433235867446393"/>
  </r>
  <r>
    <x v="37"/>
    <x v="2"/>
    <x v="37"/>
    <x v="3"/>
    <s v="Check out our latest carousel on instagram!"/>
    <n v="2174"/>
    <n v="658"/>
    <n v="15"/>
    <n v="13044"/>
    <n v="12206"/>
    <n v="137"/>
    <x v="1"/>
    <x v="2"/>
    <n v="0.21826126954921804"/>
  </r>
  <r>
    <x v="38"/>
    <x v="3"/>
    <x v="38"/>
    <x v="5"/>
    <s v="Check out our latest video on facebook!"/>
    <n v="3371"/>
    <n v="106"/>
    <n v="327"/>
    <n v="50565"/>
    <n v="49816"/>
    <n v="176"/>
    <x v="0"/>
    <x v="0"/>
    <n v="7.5229902106199939E-2"/>
  </r>
  <r>
    <x v="39"/>
    <x v="0"/>
    <x v="39"/>
    <x v="5"/>
    <s v="Check out our latest video on twitter!"/>
    <n v="1108"/>
    <n v="177"/>
    <n v="212"/>
    <n v="8864"/>
    <n v="8710"/>
    <n v="97"/>
    <x v="1"/>
    <x v="3"/>
    <n v="0.16888537906137185"/>
  </r>
  <r>
    <x v="40"/>
    <x v="0"/>
    <x v="40"/>
    <x v="2"/>
    <s v="Check out our latest story on twitter!"/>
    <n v="2164"/>
    <n v="549"/>
    <n v="274"/>
    <n v="28132"/>
    <n v="27361"/>
    <n v="177"/>
    <x v="1"/>
    <x v="3"/>
    <n v="0.10617801791554102"/>
  </r>
  <r>
    <x v="41"/>
    <x v="1"/>
    <x v="41"/>
    <x v="2"/>
    <s v="Check out our latest story on youtube!"/>
    <n v="2754"/>
    <n v="130"/>
    <n v="90"/>
    <n v="22032"/>
    <n v="21288"/>
    <n v="112"/>
    <x v="1"/>
    <x v="2"/>
    <n v="0.13498547567175018"/>
  </r>
  <r>
    <x v="42"/>
    <x v="3"/>
    <x v="42"/>
    <x v="3"/>
    <s v="Check out our latest carousel on facebook!"/>
    <n v="2200"/>
    <n v="504"/>
    <n v="239"/>
    <n v="37400"/>
    <n v="36938"/>
    <n v="225"/>
    <x v="0"/>
    <x v="1"/>
    <n v="7.8689839572192513E-2"/>
  </r>
  <r>
    <x v="43"/>
    <x v="3"/>
    <x v="43"/>
    <x v="4"/>
    <s v="Check out our latest image on facebook!"/>
    <n v="947"/>
    <n v="338"/>
    <n v="350"/>
    <n v="10417"/>
    <n v="9730"/>
    <n v="34"/>
    <x v="1"/>
    <x v="3"/>
    <n v="0.1569549774407219"/>
  </r>
  <r>
    <x v="44"/>
    <x v="1"/>
    <x v="44"/>
    <x v="3"/>
    <s v="Check out our latest carousel on youtube!"/>
    <n v="1686"/>
    <n v="904"/>
    <n v="472"/>
    <n v="18546"/>
    <n v="18171"/>
    <n v="52"/>
    <x v="0"/>
    <x v="1"/>
    <n v="0.16510298716704411"/>
  </r>
  <r>
    <x v="45"/>
    <x v="3"/>
    <x v="45"/>
    <x v="4"/>
    <s v="Check out our latest image on facebook!"/>
    <n v="1226"/>
    <n v="119"/>
    <n v="7"/>
    <n v="14712"/>
    <n v="14049"/>
    <n v="123"/>
    <x v="2"/>
    <x v="3"/>
    <n v="9.1897770527460579E-2"/>
  </r>
  <r>
    <x v="46"/>
    <x v="3"/>
    <x v="46"/>
    <x v="3"/>
    <s v="Check out our latest carousel on facebook!"/>
    <n v="2946"/>
    <n v="498"/>
    <n v="367"/>
    <n v="29460"/>
    <n v="28527"/>
    <n v="60"/>
    <x v="0"/>
    <x v="2"/>
    <n v="0.12936184657162253"/>
  </r>
  <r>
    <x v="47"/>
    <x v="0"/>
    <x v="47"/>
    <x v="5"/>
    <s v="Check out our latest video on twitter!"/>
    <n v="2825"/>
    <n v="535"/>
    <n v="295"/>
    <n v="45200"/>
    <n v="44739"/>
    <n v="169"/>
    <x v="1"/>
    <x v="0"/>
    <n v="8.0862831858407078E-2"/>
  </r>
  <r>
    <x v="48"/>
    <x v="2"/>
    <x v="48"/>
    <x v="0"/>
    <s v="Check out our latest reel on instagram!"/>
    <n v="103"/>
    <n v="770"/>
    <n v="19"/>
    <n v="1030"/>
    <n v="410"/>
    <n v="262"/>
    <x v="1"/>
    <x v="3"/>
    <n v="0.86601941747572819"/>
  </r>
  <r>
    <x v="49"/>
    <x v="2"/>
    <x v="49"/>
    <x v="5"/>
    <s v="Check out our latest video on instagram!"/>
    <n v="904"/>
    <n v="973"/>
    <n v="63"/>
    <n v="11752"/>
    <n v="11580"/>
    <n v="84"/>
    <x v="2"/>
    <x v="2"/>
    <n v="0.1650782845473111"/>
  </r>
  <r>
    <x v="50"/>
    <x v="0"/>
    <x v="50"/>
    <x v="5"/>
    <s v="Check out our latest video on twitter!"/>
    <n v="4886"/>
    <n v="983"/>
    <n v="409"/>
    <n v="43974"/>
    <n v="43239"/>
    <n v="65"/>
    <x v="1"/>
    <x v="0"/>
    <n v="0.14276618001546368"/>
  </r>
  <r>
    <x v="51"/>
    <x v="0"/>
    <x v="51"/>
    <x v="3"/>
    <s v="Check out our latest carousel on twitter!"/>
    <n v="53"/>
    <n v="81"/>
    <n v="379"/>
    <n v="954"/>
    <n v="7"/>
    <n v="148"/>
    <x v="1"/>
    <x v="2"/>
    <n v="0.53773584905660377"/>
  </r>
  <r>
    <x v="52"/>
    <x v="0"/>
    <x v="28"/>
    <x v="3"/>
    <s v="Check out our latest carousel on twitter!"/>
    <n v="4507"/>
    <n v="217"/>
    <n v="13"/>
    <n v="90140"/>
    <n v="89591"/>
    <n v="125"/>
    <x v="0"/>
    <x v="2"/>
    <n v="5.2551586421122697E-2"/>
  </r>
  <r>
    <x v="53"/>
    <x v="3"/>
    <x v="52"/>
    <x v="4"/>
    <s v="Check out our latest image on facebook!"/>
    <n v="2878"/>
    <n v="248"/>
    <n v="416"/>
    <n v="43170"/>
    <n v="42667"/>
    <n v="75"/>
    <x v="0"/>
    <x v="2"/>
    <n v="8.2047718322909427E-2"/>
  </r>
  <r>
    <x v="54"/>
    <x v="0"/>
    <x v="53"/>
    <x v="3"/>
    <s v="Check out our latest carousel on twitter!"/>
    <n v="432"/>
    <n v="171"/>
    <n v="280"/>
    <n v="3024"/>
    <n v="2285"/>
    <n v="184"/>
    <x v="2"/>
    <x v="0"/>
    <n v="0.29199735449735448"/>
  </r>
  <r>
    <x v="55"/>
    <x v="3"/>
    <x v="54"/>
    <x v="3"/>
    <s v="Check out our latest carousel on facebook!"/>
    <n v="4712"/>
    <n v="568"/>
    <n v="127"/>
    <n v="84816"/>
    <n v="84691"/>
    <n v="100"/>
    <x v="2"/>
    <x v="2"/>
    <n v="6.3749764195434822E-2"/>
  </r>
  <r>
    <x v="56"/>
    <x v="0"/>
    <x v="36"/>
    <x v="1"/>
    <s v="Check out our latest text on twitter!"/>
    <n v="1292"/>
    <n v="626"/>
    <n v="496"/>
    <n v="25840"/>
    <n v="24916"/>
    <n v="149"/>
    <x v="0"/>
    <x v="2"/>
    <n v="9.3421052631578946E-2"/>
  </r>
  <r>
    <x v="57"/>
    <x v="1"/>
    <x v="55"/>
    <x v="3"/>
    <s v="Check out our latest carousel on youtube!"/>
    <n v="2551"/>
    <n v="915"/>
    <n v="205"/>
    <n v="30612"/>
    <n v="30360"/>
    <n v="227"/>
    <x v="1"/>
    <x v="1"/>
    <n v="0.1199202926956749"/>
  </r>
  <r>
    <x v="58"/>
    <x v="1"/>
    <x v="56"/>
    <x v="0"/>
    <s v="Check out our latest reel on youtube!"/>
    <n v="296"/>
    <n v="60"/>
    <n v="141"/>
    <n v="5624"/>
    <n v="5239"/>
    <n v="88"/>
    <x v="2"/>
    <x v="1"/>
    <n v="8.837126600284495E-2"/>
  </r>
  <r>
    <x v="59"/>
    <x v="3"/>
    <x v="57"/>
    <x v="2"/>
    <s v="Check out our latest story on facebook!"/>
    <n v="4126"/>
    <n v="426"/>
    <n v="486"/>
    <n v="78394"/>
    <n v="77798"/>
    <n v="88"/>
    <x v="0"/>
    <x v="3"/>
    <n v="6.4265122330790625E-2"/>
  </r>
  <r>
    <x v="60"/>
    <x v="1"/>
    <x v="58"/>
    <x v="0"/>
    <s v="Check out our latest reel on youtube!"/>
    <n v="1855"/>
    <n v="200"/>
    <n v="174"/>
    <n v="16695"/>
    <n v="16330"/>
    <n v="123"/>
    <x v="1"/>
    <x v="2"/>
    <n v="0.13351302785265048"/>
  </r>
  <r>
    <x v="61"/>
    <x v="2"/>
    <x v="59"/>
    <x v="0"/>
    <s v="Check out our latest reel on instagram!"/>
    <n v="1674"/>
    <n v="929"/>
    <n v="37"/>
    <n v="21762"/>
    <n v="20998"/>
    <n v="255"/>
    <x v="1"/>
    <x v="3"/>
    <n v="0.12131237937689551"/>
  </r>
  <r>
    <x v="62"/>
    <x v="0"/>
    <x v="60"/>
    <x v="2"/>
    <s v="Check out our latest story on twitter!"/>
    <n v="1121"/>
    <n v="135"/>
    <n v="18"/>
    <n v="15694"/>
    <n v="14957"/>
    <n v="99"/>
    <x v="1"/>
    <x v="3"/>
    <n v="8.1177520071364848E-2"/>
  </r>
  <r>
    <x v="63"/>
    <x v="0"/>
    <x v="45"/>
    <x v="4"/>
    <s v="Check out our latest image on twitter!"/>
    <n v="954"/>
    <n v="324"/>
    <n v="288"/>
    <n v="19080"/>
    <n v="18859"/>
    <n v="21"/>
    <x v="0"/>
    <x v="3"/>
    <n v="8.2075471698113203E-2"/>
  </r>
  <r>
    <x v="64"/>
    <x v="2"/>
    <x v="61"/>
    <x v="3"/>
    <s v="Check out our latest carousel on instagram!"/>
    <n v="3068"/>
    <n v="137"/>
    <n v="329"/>
    <n v="39884"/>
    <n v="39404"/>
    <n v="266"/>
    <x v="2"/>
    <x v="1"/>
    <n v="8.860696018453515E-2"/>
  </r>
  <r>
    <x v="65"/>
    <x v="2"/>
    <x v="62"/>
    <x v="2"/>
    <s v="Check out our latest story on instagram!"/>
    <n v="1816"/>
    <n v="29"/>
    <n v="41"/>
    <n v="19976"/>
    <n v="19262"/>
    <n v="283"/>
    <x v="1"/>
    <x v="2"/>
    <n v="9.4413295955146179E-2"/>
  </r>
  <r>
    <x v="66"/>
    <x v="2"/>
    <x v="63"/>
    <x v="4"/>
    <s v="Check out our latest image on instagram!"/>
    <n v="725"/>
    <n v="88"/>
    <n v="428"/>
    <n v="14500"/>
    <n v="13637"/>
    <n v="200"/>
    <x v="0"/>
    <x v="2"/>
    <n v="8.558620689655172E-2"/>
  </r>
  <r>
    <x v="67"/>
    <x v="3"/>
    <x v="64"/>
    <x v="4"/>
    <s v="Check out our latest image on facebook!"/>
    <n v="1841"/>
    <n v="851"/>
    <n v="342"/>
    <n v="34979"/>
    <n v="34154"/>
    <n v="255"/>
    <x v="0"/>
    <x v="3"/>
    <n v="8.6737756939878216E-2"/>
  </r>
  <r>
    <x v="68"/>
    <x v="2"/>
    <x v="32"/>
    <x v="4"/>
    <s v="Check out our latest image on instagram!"/>
    <n v="4177"/>
    <n v="569"/>
    <n v="55"/>
    <n v="25062"/>
    <n v="24847"/>
    <n v="230"/>
    <x v="0"/>
    <x v="0"/>
    <n v="0.19156491900087783"/>
  </r>
  <r>
    <x v="69"/>
    <x v="1"/>
    <x v="65"/>
    <x v="1"/>
    <s v="Check out our latest text on youtube!"/>
    <n v="3428"/>
    <n v="305"/>
    <n v="85"/>
    <n v="58276"/>
    <n v="58052"/>
    <n v="242"/>
    <x v="2"/>
    <x v="3"/>
    <n v="6.5515821264328367E-2"/>
  </r>
  <r>
    <x v="70"/>
    <x v="0"/>
    <x v="66"/>
    <x v="5"/>
    <s v="Check out our latest video on twitter!"/>
    <n v="1436"/>
    <n v="765"/>
    <n v="496"/>
    <n v="12924"/>
    <n v="12701"/>
    <n v="197"/>
    <x v="0"/>
    <x v="2"/>
    <n v="0.20868152274837512"/>
  </r>
  <r>
    <x v="71"/>
    <x v="3"/>
    <x v="67"/>
    <x v="2"/>
    <s v="Check out our latest story on facebook!"/>
    <n v="302"/>
    <n v="47"/>
    <n v="430"/>
    <n v="5738"/>
    <n v="4890"/>
    <n v="25"/>
    <x v="1"/>
    <x v="3"/>
    <n v="0.13576158940397351"/>
  </r>
  <r>
    <x v="72"/>
    <x v="2"/>
    <x v="68"/>
    <x v="4"/>
    <s v="Check out our latest image on instagram!"/>
    <n v="3861"/>
    <n v="960"/>
    <n v="101"/>
    <n v="69498"/>
    <n v="68817"/>
    <n v="297"/>
    <x v="1"/>
    <x v="3"/>
    <n v="7.0822181933293038E-2"/>
  </r>
  <r>
    <x v="73"/>
    <x v="3"/>
    <x v="69"/>
    <x v="4"/>
    <s v="Check out our latest image on facebook!"/>
    <n v="1263"/>
    <n v="397"/>
    <n v="357"/>
    <n v="25260"/>
    <n v="24615"/>
    <n v="137"/>
    <x v="2"/>
    <x v="3"/>
    <n v="7.984956452889945E-2"/>
  </r>
  <r>
    <x v="74"/>
    <x v="0"/>
    <x v="47"/>
    <x v="2"/>
    <s v="Check out our latest story on twitter!"/>
    <n v="3801"/>
    <n v="967"/>
    <n v="401"/>
    <n v="38010"/>
    <n v="37625"/>
    <n v="236"/>
    <x v="0"/>
    <x v="2"/>
    <n v="0.13599052880820836"/>
  </r>
  <r>
    <x v="75"/>
    <x v="2"/>
    <x v="70"/>
    <x v="5"/>
    <s v="Check out our latest video on instagram!"/>
    <n v="1431"/>
    <n v="951"/>
    <n v="26"/>
    <n v="8586"/>
    <n v="8396"/>
    <n v="150"/>
    <x v="2"/>
    <x v="2"/>
    <n v="0.28045655718611695"/>
  </r>
  <r>
    <x v="76"/>
    <x v="2"/>
    <x v="60"/>
    <x v="4"/>
    <s v="Check out our latest image on instagram!"/>
    <n v="2647"/>
    <n v="304"/>
    <n v="170"/>
    <n v="18529"/>
    <n v="17841"/>
    <n v="46"/>
    <x v="0"/>
    <x v="2"/>
    <n v="0.16843866371633656"/>
  </r>
  <r>
    <x v="77"/>
    <x v="2"/>
    <x v="71"/>
    <x v="1"/>
    <s v="Check out our latest text on instagram!"/>
    <n v="3182"/>
    <n v="559"/>
    <n v="160"/>
    <n v="57276"/>
    <n v="56890"/>
    <n v="163"/>
    <x v="0"/>
    <x v="3"/>
    <n v="6.8108806480899509E-2"/>
  </r>
  <r>
    <x v="78"/>
    <x v="2"/>
    <x v="72"/>
    <x v="4"/>
    <s v="Check out our latest image on instagram!"/>
    <n v="4739"/>
    <n v="527"/>
    <n v="135"/>
    <n v="61607"/>
    <n v="61333"/>
    <n v="36"/>
    <x v="1"/>
    <x v="1"/>
    <n v="8.7668609086629767E-2"/>
  </r>
  <r>
    <x v="79"/>
    <x v="0"/>
    <x v="40"/>
    <x v="2"/>
    <s v="Check out our latest story on twitter!"/>
    <n v="1575"/>
    <n v="771"/>
    <n v="486"/>
    <n v="25200"/>
    <n v="24826"/>
    <n v="17"/>
    <x v="0"/>
    <x v="3"/>
    <n v="0.11238095238095239"/>
  </r>
  <r>
    <x v="80"/>
    <x v="1"/>
    <x v="73"/>
    <x v="3"/>
    <s v="Check out our latest carousel on youtube!"/>
    <n v="4171"/>
    <n v="548"/>
    <n v="86"/>
    <n v="66736"/>
    <n v="66634"/>
    <n v="173"/>
    <x v="0"/>
    <x v="2"/>
    <n v="7.2000119875329657E-2"/>
  </r>
  <r>
    <x v="81"/>
    <x v="1"/>
    <x v="57"/>
    <x v="5"/>
    <s v="Check out our latest video on youtube!"/>
    <n v="4450"/>
    <n v="983"/>
    <n v="143"/>
    <n v="75650"/>
    <n v="75008"/>
    <n v="12"/>
    <x v="0"/>
    <x v="2"/>
    <n v="7.3707865168539333E-2"/>
  </r>
  <r>
    <x v="82"/>
    <x v="0"/>
    <x v="74"/>
    <x v="0"/>
    <s v="Check out our latest reel on twitter!"/>
    <n v="1000"/>
    <n v="978"/>
    <n v="162"/>
    <n v="6000"/>
    <n v="5221"/>
    <n v="223"/>
    <x v="2"/>
    <x v="1"/>
    <n v="0.35666666666666669"/>
  </r>
  <r>
    <x v="83"/>
    <x v="3"/>
    <x v="75"/>
    <x v="4"/>
    <s v="Check out our latest image on facebook!"/>
    <n v="3689"/>
    <n v="48"/>
    <n v="306"/>
    <n v="40579"/>
    <n v="39588"/>
    <n v="212"/>
    <x v="2"/>
    <x v="1"/>
    <n v="9.9632815002833983E-2"/>
  </r>
  <r>
    <x v="84"/>
    <x v="1"/>
    <x v="76"/>
    <x v="2"/>
    <s v="Check out our latest story on youtube!"/>
    <n v="3655"/>
    <n v="568"/>
    <n v="286"/>
    <n v="32895"/>
    <n v="32015"/>
    <n v="199"/>
    <x v="1"/>
    <x v="2"/>
    <n v="0.13707250341997265"/>
  </r>
  <r>
    <x v="85"/>
    <x v="2"/>
    <x v="77"/>
    <x v="3"/>
    <s v="Check out our latest carousel on instagram!"/>
    <n v="498"/>
    <n v="38"/>
    <n v="42"/>
    <n v="4482"/>
    <n v="3647"/>
    <n v="32"/>
    <x v="0"/>
    <x v="0"/>
    <n v="0.12896028558679162"/>
  </r>
  <r>
    <x v="86"/>
    <x v="2"/>
    <x v="78"/>
    <x v="4"/>
    <s v="Check out our latest image on instagram!"/>
    <n v="4619"/>
    <n v="821"/>
    <n v="499"/>
    <n v="69285"/>
    <n v="69141"/>
    <n v="298"/>
    <x v="1"/>
    <x v="3"/>
    <n v="8.5718409468138843E-2"/>
  </r>
  <r>
    <x v="87"/>
    <x v="0"/>
    <x v="79"/>
    <x v="5"/>
    <s v="Check out our latest video on twitter!"/>
    <n v="4050"/>
    <n v="871"/>
    <n v="347"/>
    <n v="52650"/>
    <n v="51755"/>
    <n v="209"/>
    <x v="1"/>
    <x v="1"/>
    <n v="0.10005698005698006"/>
  </r>
  <r>
    <x v="88"/>
    <x v="0"/>
    <x v="80"/>
    <x v="2"/>
    <s v="Check out our latest story on twitter!"/>
    <n v="3649"/>
    <n v="215"/>
    <n v="413"/>
    <n v="25543"/>
    <n v="24963"/>
    <n v="167"/>
    <x v="0"/>
    <x v="2"/>
    <n v="0.16744313510550835"/>
  </r>
  <r>
    <x v="89"/>
    <x v="2"/>
    <x v="81"/>
    <x v="0"/>
    <s v="Check out our latest reel on instagram!"/>
    <n v="3523"/>
    <n v="753"/>
    <n v="482"/>
    <n v="38753"/>
    <n v="38579"/>
    <n v="270"/>
    <x v="2"/>
    <x v="1"/>
    <n v="0.12277759141227776"/>
  </r>
  <r>
    <x v="90"/>
    <x v="1"/>
    <x v="82"/>
    <x v="4"/>
    <s v="Check out our latest image on youtube!"/>
    <n v="2719"/>
    <n v="17"/>
    <n v="285"/>
    <n v="40785"/>
    <n v="40281"/>
    <n v="40"/>
    <x v="1"/>
    <x v="1"/>
    <n v="7.4071349760941527E-2"/>
  </r>
  <r>
    <x v="91"/>
    <x v="0"/>
    <x v="83"/>
    <x v="2"/>
    <s v="Check out our latest story on twitter!"/>
    <n v="1957"/>
    <n v="877"/>
    <n v="238"/>
    <n v="17613"/>
    <n v="16865"/>
    <n v="297"/>
    <x v="0"/>
    <x v="2"/>
    <n v="0.17441662408448305"/>
  </r>
  <r>
    <x v="92"/>
    <x v="0"/>
    <x v="84"/>
    <x v="3"/>
    <s v="Check out our latest carousel on twitter!"/>
    <n v="4419"/>
    <n v="236"/>
    <n v="369"/>
    <n v="44190"/>
    <n v="43582"/>
    <n v="10"/>
    <x v="2"/>
    <x v="0"/>
    <n v="0.11369088028965829"/>
  </r>
  <r>
    <x v="93"/>
    <x v="0"/>
    <x v="85"/>
    <x v="2"/>
    <s v="Check out our latest story on twitter!"/>
    <n v="4000"/>
    <n v="689"/>
    <n v="488"/>
    <n v="40000"/>
    <n v="39569"/>
    <n v="44"/>
    <x v="0"/>
    <x v="0"/>
    <n v="0.12942500000000001"/>
  </r>
  <r>
    <x v="94"/>
    <x v="0"/>
    <x v="86"/>
    <x v="4"/>
    <s v="Check out our latest image on twitter!"/>
    <n v="2493"/>
    <n v="97"/>
    <n v="44"/>
    <n v="42381"/>
    <n v="41991"/>
    <n v="242"/>
    <x v="1"/>
    <x v="3"/>
    <n v="6.2150491965739366E-2"/>
  </r>
  <r>
    <x v="95"/>
    <x v="0"/>
    <x v="87"/>
    <x v="4"/>
    <s v="Check out our latest image on twitter!"/>
    <n v="1606"/>
    <n v="451"/>
    <n v="405"/>
    <n v="20878"/>
    <n v="20190"/>
    <n v="219"/>
    <x v="2"/>
    <x v="3"/>
    <n v="0.11792317271769326"/>
  </r>
  <r>
    <x v="96"/>
    <x v="3"/>
    <x v="87"/>
    <x v="4"/>
    <s v="Check out our latest image on facebook!"/>
    <n v="4551"/>
    <n v="714"/>
    <n v="207"/>
    <n v="68265"/>
    <n v="67754"/>
    <n v="57"/>
    <x v="0"/>
    <x v="2"/>
    <n v="8.0158206987475278E-2"/>
  </r>
  <r>
    <x v="97"/>
    <x v="3"/>
    <x v="47"/>
    <x v="2"/>
    <s v="Check out our latest story on facebook!"/>
    <n v="780"/>
    <n v="928"/>
    <n v="301"/>
    <n v="8580"/>
    <n v="8081"/>
    <n v="91"/>
    <x v="2"/>
    <x v="2"/>
    <n v="0.23414918414918415"/>
  </r>
  <r>
    <x v="98"/>
    <x v="2"/>
    <x v="84"/>
    <x v="1"/>
    <s v="Check out our latest text on instagram!"/>
    <n v="3432"/>
    <n v="869"/>
    <n v="123"/>
    <n v="54912"/>
    <n v="53916"/>
    <n v="264"/>
    <x v="2"/>
    <x v="1"/>
    <n v="8.0565268065268064E-2"/>
  </r>
  <r>
    <x v="99"/>
    <x v="2"/>
    <x v="77"/>
    <x v="2"/>
    <s v="Check out our latest story on instagram!"/>
    <n v="4363"/>
    <n v="649"/>
    <n v="140"/>
    <n v="21815"/>
    <n v="21481"/>
    <n v="157"/>
    <x v="2"/>
    <x v="0"/>
    <n v="0.23616777446710979"/>
  </r>
  <r>
    <x v="100"/>
    <x v="1"/>
    <x v="88"/>
    <x v="3"/>
    <s v="Check out our latest carousel on youtube!"/>
    <n v="736"/>
    <n v="771"/>
    <n v="225"/>
    <n v="5152"/>
    <n v="4706"/>
    <n v="19"/>
    <x v="2"/>
    <x v="0"/>
    <n v="0.33618012422360249"/>
  </r>
  <r>
    <x v="101"/>
    <x v="0"/>
    <x v="89"/>
    <x v="3"/>
    <s v="Check out our latest carousel on twitter!"/>
    <n v="3811"/>
    <n v="866"/>
    <n v="216"/>
    <n v="34299"/>
    <n v="34088"/>
    <n v="233"/>
    <x v="1"/>
    <x v="3"/>
    <n v="0.14265722032712325"/>
  </r>
  <r>
    <x v="102"/>
    <x v="3"/>
    <x v="65"/>
    <x v="0"/>
    <s v="Check out our latest reel on facebook!"/>
    <n v="3452"/>
    <n v="652"/>
    <n v="442"/>
    <n v="65588"/>
    <n v="65049"/>
    <n v="158"/>
    <x v="0"/>
    <x v="2"/>
    <n v="6.9311459413307311E-2"/>
  </r>
  <r>
    <x v="103"/>
    <x v="1"/>
    <x v="90"/>
    <x v="0"/>
    <s v="Check out our latest reel on youtube!"/>
    <n v="2936"/>
    <n v="439"/>
    <n v="44"/>
    <n v="38168"/>
    <n v="37571"/>
    <n v="22"/>
    <x v="2"/>
    <x v="3"/>
    <n v="8.9577656675749323E-2"/>
  </r>
  <r>
    <x v="104"/>
    <x v="2"/>
    <x v="47"/>
    <x v="0"/>
    <s v="Check out our latest reel on instagram!"/>
    <n v="4840"/>
    <n v="658"/>
    <n v="211"/>
    <n v="43560"/>
    <n v="43225"/>
    <n v="57"/>
    <x v="0"/>
    <x v="2"/>
    <n v="0.13106060606060607"/>
  </r>
  <r>
    <x v="105"/>
    <x v="2"/>
    <x v="25"/>
    <x v="2"/>
    <s v="Check out our latest story on instagram!"/>
    <n v="1947"/>
    <n v="842"/>
    <n v="101"/>
    <n v="21417"/>
    <n v="20967"/>
    <n v="186"/>
    <x v="0"/>
    <x v="1"/>
    <n v="0.13493953401503478"/>
  </r>
  <r>
    <x v="106"/>
    <x v="3"/>
    <x v="91"/>
    <x v="4"/>
    <s v="Check out our latest image on facebook!"/>
    <n v="2072"/>
    <n v="532"/>
    <n v="71"/>
    <n v="37296"/>
    <n v="36467"/>
    <n v="25"/>
    <x v="1"/>
    <x v="3"/>
    <n v="7.172350922350923E-2"/>
  </r>
  <r>
    <x v="107"/>
    <x v="0"/>
    <x v="92"/>
    <x v="0"/>
    <s v="Check out our latest reel on twitter!"/>
    <n v="3731"/>
    <n v="115"/>
    <n v="135"/>
    <n v="55965"/>
    <n v="55436"/>
    <n v="103"/>
    <x v="1"/>
    <x v="0"/>
    <n v="7.1133744304476013E-2"/>
  </r>
  <r>
    <x v="108"/>
    <x v="3"/>
    <x v="93"/>
    <x v="1"/>
    <s v="Check out our latest text on facebook!"/>
    <n v="4213"/>
    <n v="253"/>
    <n v="434"/>
    <n v="75834"/>
    <n v="75437"/>
    <n v="272"/>
    <x v="0"/>
    <x v="3"/>
    <n v="6.461481657304112E-2"/>
  </r>
  <r>
    <x v="109"/>
    <x v="2"/>
    <x v="94"/>
    <x v="1"/>
    <s v="Check out our latest text on instagram!"/>
    <n v="3134"/>
    <n v="888"/>
    <n v="444"/>
    <n v="21938"/>
    <n v="21337"/>
    <n v="130"/>
    <x v="2"/>
    <x v="3"/>
    <n v="0.20357370772176134"/>
  </r>
  <r>
    <x v="110"/>
    <x v="0"/>
    <x v="54"/>
    <x v="4"/>
    <s v="Check out our latest image on twitter!"/>
    <n v="305"/>
    <n v="187"/>
    <n v="243"/>
    <n v="4575"/>
    <n v="3704"/>
    <n v="234"/>
    <x v="0"/>
    <x v="2"/>
    <n v="0.16065573770491803"/>
  </r>
  <r>
    <x v="111"/>
    <x v="1"/>
    <x v="95"/>
    <x v="1"/>
    <s v="Check out our latest text on youtube!"/>
    <n v="2746"/>
    <n v="156"/>
    <n v="203"/>
    <n v="32952"/>
    <n v="32147"/>
    <n v="147"/>
    <x v="2"/>
    <x v="0"/>
    <n v="9.422796795338674E-2"/>
  </r>
  <r>
    <x v="112"/>
    <x v="3"/>
    <x v="96"/>
    <x v="4"/>
    <s v="Check out our latest image on facebook!"/>
    <n v="2291"/>
    <n v="78"/>
    <n v="485"/>
    <n v="18328"/>
    <n v="18101"/>
    <n v="10"/>
    <x v="2"/>
    <x v="1"/>
    <n v="0.15571802706241816"/>
  </r>
  <r>
    <x v="113"/>
    <x v="1"/>
    <x v="79"/>
    <x v="2"/>
    <s v="Check out our latest story on youtube!"/>
    <n v="2070"/>
    <n v="275"/>
    <n v="386"/>
    <n v="39330"/>
    <n v="38627"/>
    <n v="114"/>
    <x v="0"/>
    <x v="3"/>
    <n v="6.9438087973557078E-2"/>
  </r>
  <r>
    <x v="114"/>
    <x v="1"/>
    <x v="84"/>
    <x v="3"/>
    <s v="Check out our latest carousel on youtube!"/>
    <n v="80"/>
    <n v="362"/>
    <n v="80"/>
    <n v="1040"/>
    <n v="349"/>
    <n v="117"/>
    <x v="1"/>
    <x v="2"/>
    <n v="0.50192307692307692"/>
  </r>
  <r>
    <x v="115"/>
    <x v="1"/>
    <x v="58"/>
    <x v="2"/>
    <s v="Check out our latest story on youtube!"/>
    <n v="4929"/>
    <n v="749"/>
    <n v="452"/>
    <n v="93651"/>
    <n v="92810"/>
    <n v="66"/>
    <x v="2"/>
    <x v="3"/>
    <n v="6.5455787978772245E-2"/>
  </r>
  <r>
    <x v="116"/>
    <x v="2"/>
    <x v="3"/>
    <x v="3"/>
    <s v="Check out our latest carousel on instagram!"/>
    <n v="1878"/>
    <n v="62"/>
    <n v="179"/>
    <n v="37560"/>
    <n v="36874"/>
    <n v="142"/>
    <x v="1"/>
    <x v="3"/>
    <n v="5.6416400425985093E-2"/>
  </r>
  <r>
    <x v="117"/>
    <x v="2"/>
    <x v="47"/>
    <x v="0"/>
    <s v="Check out our latest reel on instagram!"/>
    <n v="3256"/>
    <n v="459"/>
    <n v="266"/>
    <n v="26048"/>
    <n v="25529"/>
    <n v="143"/>
    <x v="1"/>
    <x v="1"/>
    <n v="0.15283323095823095"/>
  </r>
  <r>
    <x v="118"/>
    <x v="2"/>
    <x v="48"/>
    <x v="5"/>
    <s v="Check out our latest video on instagram!"/>
    <n v="4133"/>
    <n v="466"/>
    <n v="327"/>
    <n v="24798"/>
    <n v="24620"/>
    <n v="176"/>
    <x v="2"/>
    <x v="3"/>
    <n v="0.19864505202032423"/>
  </r>
  <r>
    <x v="119"/>
    <x v="0"/>
    <x v="97"/>
    <x v="5"/>
    <s v="Check out our latest video on twitter!"/>
    <n v="1702"/>
    <n v="750"/>
    <n v="179"/>
    <n v="34040"/>
    <n v="33174"/>
    <n v="76"/>
    <x v="2"/>
    <x v="0"/>
    <n v="7.7291421856639245E-2"/>
  </r>
  <r>
    <x v="120"/>
    <x v="1"/>
    <x v="98"/>
    <x v="3"/>
    <s v="Check out our latest carousel on youtube!"/>
    <n v="4295"/>
    <n v="853"/>
    <n v="325"/>
    <n v="85900"/>
    <n v="85788"/>
    <n v="290"/>
    <x v="1"/>
    <x v="3"/>
    <n v="6.3713620488940623E-2"/>
  </r>
  <r>
    <x v="121"/>
    <x v="2"/>
    <x v="53"/>
    <x v="4"/>
    <s v="Check out our latest image on instagram!"/>
    <n v="3559"/>
    <n v="59"/>
    <n v="289"/>
    <n v="35590"/>
    <n v="35105"/>
    <n v="122"/>
    <x v="2"/>
    <x v="0"/>
    <n v="0.10977802753582468"/>
  </r>
  <r>
    <x v="122"/>
    <x v="3"/>
    <x v="99"/>
    <x v="4"/>
    <s v="Check out our latest image on facebook!"/>
    <n v="4804"/>
    <n v="550"/>
    <n v="270"/>
    <n v="28824"/>
    <n v="28370"/>
    <n v="47"/>
    <x v="2"/>
    <x v="3"/>
    <n v="0.19511518179295032"/>
  </r>
  <r>
    <x v="123"/>
    <x v="0"/>
    <x v="100"/>
    <x v="5"/>
    <s v="Check out our latest video on twitter!"/>
    <n v="754"/>
    <n v="197"/>
    <n v="257"/>
    <n v="6786"/>
    <n v="6221"/>
    <n v="212"/>
    <x v="1"/>
    <x v="2"/>
    <n v="0.17801355732390214"/>
  </r>
  <r>
    <x v="124"/>
    <x v="2"/>
    <x v="61"/>
    <x v="3"/>
    <s v="Check out our latest carousel on instagram!"/>
    <n v="985"/>
    <n v="932"/>
    <n v="287"/>
    <n v="6895"/>
    <n v="6757"/>
    <n v="64"/>
    <x v="0"/>
    <x v="3"/>
    <n v="0.31965192168237855"/>
  </r>
  <r>
    <x v="125"/>
    <x v="1"/>
    <x v="101"/>
    <x v="4"/>
    <s v="Check out our latest image on youtube!"/>
    <n v="2283"/>
    <n v="210"/>
    <n v="130"/>
    <n v="22830"/>
    <n v="22617"/>
    <n v="143"/>
    <x v="0"/>
    <x v="1"/>
    <n v="0.11489268506351293"/>
  </r>
  <r>
    <x v="126"/>
    <x v="3"/>
    <x v="102"/>
    <x v="3"/>
    <s v="Check out our latest carousel on facebook!"/>
    <n v="3352"/>
    <n v="941"/>
    <n v="482"/>
    <n v="43576"/>
    <n v="43338"/>
    <n v="240"/>
    <x v="0"/>
    <x v="1"/>
    <n v="0.1095786671562328"/>
  </r>
  <r>
    <x v="127"/>
    <x v="1"/>
    <x v="103"/>
    <x v="2"/>
    <s v="Check out our latest story on youtube!"/>
    <n v="4775"/>
    <n v="173"/>
    <n v="206"/>
    <n v="47750"/>
    <n v="47544"/>
    <n v="187"/>
    <x v="0"/>
    <x v="1"/>
    <n v="0.10793717277486911"/>
  </r>
  <r>
    <x v="128"/>
    <x v="2"/>
    <x v="104"/>
    <x v="2"/>
    <s v="Check out our latest story on instagram!"/>
    <n v="1762"/>
    <n v="405"/>
    <n v="423"/>
    <n v="22906"/>
    <n v="21925"/>
    <n v="25"/>
    <x v="1"/>
    <x v="0"/>
    <n v="0.11307081114118571"/>
  </r>
  <r>
    <x v="129"/>
    <x v="3"/>
    <x v="105"/>
    <x v="2"/>
    <s v="Check out our latest story on facebook!"/>
    <n v="2120"/>
    <n v="158"/>
    <n v="488"/>
    <n v="12720"/>
    <n v="12085"/>
    <n v="17"/>
    <x v="0"/>
    <x v="1"/>
    <n v="0.21745283018867925"/>
  </r>
  <r>
    <x v="130"/>
    <x v="0"/>
    <x v="106"/>
    <x v="1"/>
    <s v="Check out our latest text on twitter!"/>
    <n v="4671"/>
    <n v="876"/>
    <n v="366"/>
    <n v="51381"/>
    <n v="50565"/>
    <n v="245"/>
    <x v="1"/>
    <x v="3"/>
    <n v="0.11508145034156594"/>
  </r>
  <r>
    <x v="131"/>
    <x v="2"/>
    <x v="107"/>
    <x v="4"/>
    <s v="Check out our latest image on instagram!"/>
    <n v="4501"/>
    <n v="375"/>
    <n v="323"/>
    <n v="22505"/>
    <n v="21836"/>
    <n v="132"/>
    <x v="1"/>
    <x v="1"/>
    <n v="0.23101532992668297"/>
  </r>
  <r>
    <x v="132"/>
    <x v="1"/>
    <x v="20"/>
    <x v="1"/>
    <s v="Check out our latest text on youtube!"/>
    <n v="4934"/>
    <n v="971"/>
    <n v="156"/>
    <n v="39472"/>
    <n v="39025"/>
    <n v="169"/>
    <x v="1"/>
    <x v="3"/>
    <n v="0.15355188488042157"/>
  </r>
  <r>
    <x v="133"/>
    <x v="0"/>
    <x v="70"/>
    <x v="1"/>
    <s v="Check out our latest text on twitter!"/>
    <n v="3239"/>
    <n v="43"/>
    <n v="211"/>
    <n v="22673"/>
    <n v="22171"/>
    <n v="230"/>
    <x v="1"/>
    <x v="1"/>
    <n v="0.15405989502933004"/>
  </r>
  <r>
    <x v="134"/>
    <x v="0"/>
    <x v="108"/>
    <x v="0"/>
    <s v="Check out our latest reel on twitter!"/>
    <n v="1076"/>
    <n v="313"/>
    <n v="306"/>
    <n v="11836"/>
    <n v="11596"/>
    <n v="104"/>
    <x v="0"/>
    <x v="0"/>
    <n v="0.14320716458262928"/>
  </r>
  <r>
    <x v="135"/>
    <x v="3"/>
    <x v="109"/>
    <x v="1"/>
    <s v="Check out our latest text on facebook!"/>
    <n v="2418"/>
    <n v="754"/>
    <n v="54"/>
    <n v="43524"/>
    <n v="42743"/>
    <n v="182"/>
    <x v="2"/>
    <x v="0"/>
    <n v="7.412002573292896E-2"/>
  </r>
  <r>
    <x v="136"/>
    <x v="1"/>
    <x v="110"/>
    <x v="5"/>
    <s v="Check out our latest video on youtube!"/>
    <n v="3809"/>
    <n v="273"/>
    <n v="200"/>
    <n v="34281"/>
    <n v="33534"/>
    <n v="83"/>
    <x v="2"/>
    <x v="0"/>
    <n v="0.12490884163239112"/>
  </r>
  <r>
    <x v="137"/>
    <x v="0"/>
    <x v="111"/>
    <x v="1"/>
    <s v="Check out our latest text on twitter!"/>
    <n v="3577"/>
    <n v="596"/>
    <n v="493"/>
    <n v="67963"/>
    <n v="67839"/>
    <n v="53"/>
    <x v="1"/>
    <x v="2"/>
    <n v="6.8655003457763777E-2"/>
  </r>
  <r>
    <x v="138"/>
    <x v="1"/>
    <x v="112"/>
    <x v="5"/>
    <s v="Check out our latest video on youtube!"/>
    <n v="1018"/>
    <n v="447"/>
    <n v="332"/>
    <n v="18324"/>
    <n v="18164"/>
    <n v="38"/>
    <x v="0"/>
    <x v="1"/>
    <n v="9.8068107400130972E-2"/>
  </r>
  <r>
    <x v="139"/>
    <x v="3"/>
    <x v="113"/>
    <x v="3"/>
    <s v="Check out our latest carousel on facebook!"/>
    <n v="3073"/>
    <n v="553"/>
    <n v="174"/>
    <n v="52241"/>
    <n v="51605"/>
    <n v="246"/>
    <x v="2"/>
    <x v="2"/>
    <n v="7.2739802071170159E-2"/>
  </r>
  <r>
    <x v="140"/>
    <x v="0"/>
    <x v="114"/>
    <x v="5"/>
    <s v="Check out our latest video on twitter!"/>
    <n v="1330"/>
    <n v="925"/>
    <n v="35"/>
    <n v="15960"/>
    <n v="15379"/>
    <n v="229"/>
    <x v="0"/>
    <x v="2"/>
    <n v="0.14348370927318296"/>
  </r>
  <r>
    <x v="141"/>
    <x v="2"/>
    <x v="115"/>
    <x v="0"/>
    <s v="Check out our latest reel on instagram!"/>
    <n v="142"/>
    <n v="784"/>
    <n v="183"/>
    <n v="1704"/>
    <n v="995"/>
    <n v="154"/>
    <x v="0"/>
    <x v="3"/>
    <n v="0.6508215962441315"/>
  </r>
  <r>
    <x v="142"/>
    <x v="3"/>
    <x v="116"/>
    <x v="5"/>
    <s v="Check out our latest video on facebook!"/>
    <n v="3798"/>
    <n v="31"/>
    <n v="279"/>
    <n v="75960"/>
    <n v="75813"/>
    <n v="266"/>
    <x v="1"/>
    <x v="0"/>
    <n v="5.4081095313322801E-2"/>
  </r>
  <r>
    <x v="143"/>
    <x v="2"/>
    <x v="117"/>
    <x v="3"/>
    <s v="Check out our latest carousel on instagram!"/>
    <n v="3099"/>
    <n v="694"/>
    <n v="171"/>
    <n v="43386"/>
    <n v="42921"/>
    <n v="52"/>
    <x v="1"/>
    <x v="2"/>
    <n v="9.1365878393951966E-2"/>
  </r>
  <r>
    <x v="144"/>
    <x v="2"/>
    <x v="60"/>
    <x v="5"/>
    <s v="Check out our latest video on instagram!"/>
    <n v="129"/>
    <n v="643"/>
    <n v="136"/>
    <n v="1290"/>
    <n v="839"/>
    <n v="238"/>
    <x v="1"/>
    <x v="3"/>
    <n v="0.70387596899224802"/>
  </r>
  <r>
    <x v="145"/>
    <x v="1"/>
    <x v="110"/>
    <x v="1"/>
    <s v="Check out our latest text on youtube!"/>
    <n v="3711"/>
    <n v="352"/>
    <n v="290"/>
    <n v="48243"/>
    <n v="47579"/>
    <n v="11"/>
    <x v="1"/>
    <x v="0"/>
    <n v="9.023070704558174E-2"/>
  </r>
  <r>
    <x v="146"/>
    <x v="1"/>
    <x v="118"/>
    <x v="4"/>
    <s v="Check out our latest image on youtube!"/>
    <n v="606"/>
    <n v="789"/>
    <n v="470"/>
    <n v="7878"/>
    <n v="7389"/>
    <n v="239"/>
    <x v="2"/>
    <x v="2"/>
    <n v="0.23673521198273673"/>
  </r>
  <r>
    <x v="147"/>
    <x v="3"/>
    <x v="28"/>
    <x v="4"/>
    <s v="Check out our latest image on facebook!"/>
    <n v="4689"/>
    <n v="134"/>
    <n v="403"/>
    <n v="51579"/>
    <n v="50924"/>
    <n v="173"/>
    <x v="1"/>
    <x v="3"/>
    <n v="0.10132030477519921"/>
  </r>
  <r>
    <x v="148"/>
    <x v="2"/>
    <x v="119"/>
    <x v="2"/>
    <s v="Check out our latest story on instagram!"/>
    <n v="360"/>
    <n v="590"/>
    <n v="393"/>
    <n v="4680"/>
    <n v="4322"/>
    <n v="208"/>
    <x v="0"/>
    <x v="1"/>
    <n v="0.28696581196581195"/>
  </r>
  <r>
    <x v="149"/>
    <x v="0"/>
    <x v="120"/>
    <x v="4"/>
    <s v="Check out our latest image on twitter!"/>
    <n v="3215"/>
    <n v="960"/>
    <n v="202"/>
    <n v="32150"/>
    <n v="31404"/>
    <n v="251"/>
    <x v="2"/>
    <x v="0"/>
    <n v="0.13614307931570763"/>
  </r>
  <r>
    <x v="150"/>
    <x v="3"/>
    <x v="121"/>
    <x v="3"/>
    <s v="Check out our latest carousel on facebook!"/>
    <n v="4292"/>
    <n v="51"/>
    <n v="392"/>
    <n v="55796"/>
    <n v="54826"/>
    <n v="264"/>
    <x v="2"/>
    <x v="2"/>
    <n v="8.4862714173059003E-2"/>
  </r>
  <r>
    <x v="151"/>
    <x v="0"/>
    <x v="122"/>
    <x v="0"/>
    <s v="Check out our latest reel on twitter!"/>
    <n v="1644"/>
    <n v="546"/>
    <n v="150"/>
    <n v="27948"/>
    <n v="27184"/>
    <n v="300"/>
    <x v="2"/>
    <x v="2"/>
    <n v="8.3726921425504502E-2"/>
  </r>
  <r>
    <x v="152"/>
    <x v="1"/>
    <x v="66"/>
    <x v="0"/>
    <s v="Check out our latest reel on youtube!"/>
    <n v="2728"/>
    <n v="533"/>
    <n v="215"/>
    <n v="40920"/>
    <n v="40816"/>
    <n v="137"/>
    <x v="0"/>
    <x v="1"/>
    <n v="8.4946236559139784E-2"/>
  </r>
  <r>
    <x v="153"/>
    <x v="3"/>
    <x v="69"/>
    <x v="0"/>
    <s v="Check out our latest reel on facebook!"/>
    <n v="3360"/>
    <n v="525"/>
    <n v="500"/>
    <n v="60480"/>
    <n v="59610"/>
    <n v="192"/>
    <x v="1"/>
    <x v="0"/>
    <n v="7.2503306878306875E-2"/>
  </r>
  <r>
    <x v="154"/>
    <x v="1"/>
    <x v="110"/>
    <x v="2"/>
    <s v="Check out our latest story on youtube!"/>
    <n v="4285"/>
    <n v="886"/>
    <n v="376"/>
    <n v="55705"/>
    <n v="55556"/>
    <n v="51"/>
    <x v="0"/>
    <x v="2"/>
    <n v="9.9578134817341346E-2"/>
  </r>
  <r>
    <x v="155"/>
    <x v="0"/>
    <x v="123"/>
    <x v="4"/>
    <s v="Check out our latest image on twitter!"/>
    <n v="4858"/>
    <n v="317"/>
    <n v="129"/>
    <n v="53438"/>
    <n v="52687"/>
    <n v="223"/>
    <x v="2"/>
    <x v="2"/>
    <n v="9.9255211647142488E-2"/>
  </r>
  <r>
    <x v="156"/>
    <x v="1"/>
    <x v="84"/>
    <x v="2"/>
    <s v="Check out our latest story on youtube!"/>
    <n v="4350"/>
    <n v="771"/>
    <n v="7"/>
    <n v="60900"/>
    <n v="60592"/>
    <n v="195"/>
    <x v="2"/>
    <x v="0"/>
    <n v="8.4203612479474554E-2"/>
  </r>
  <r>
    <x v="157"/>
    <x v="2"/>
    <x v="124"/>
    <x v="3"/>
    <s v="Check out our latest carousel on instagram!"/>
    <n v="914"/>
    <n v="464"/>
    <n v="246"/>
    <n v="11882"/>
    <n v="11500"/>
    <n v="282"/>
    <x v="0"/>
    <x v="3"/>
    <n v="0.13667732704931829"/>
  </r>
  <r>
    <x v="158"/>
    <x v="2"/>
    <x v="125"/>
    <x v="1"/>
    <s v="Check out our latest text on instagram!"/>
    <n v="1813"/>
    <n v="623"/>
    <n v="72"/>
    <n v="19943"/>
    <n v="18959"/>
    <n v="85"/>
    <x v="2"/>
    <x v="2"/>
    <n v="0.12575841147269717"/>
  </r>
  <r>
    <x v="159"/>
    <x v="0"/>
    <x v="102"/>
    <x v="0"/>
    <s v="Check out our latest reel on twitter!"/>
    <n v="4782"/>
    <n v="721"/>
    <n v="82"/>
    <n v="86076"/>
    <n v="85339"/>
    <n v="19"/>
    <x v="2"/>
    <x v="0"/>
    <n v="6.4884520656164318E-2"/>
  </r>
  <r>
    <x v="160"/>
    <x v="0"/>
    <x v="126"/>
    <x v="4"/>
    <s v="Check out our latest image on twitter!"/>
    <n v="1048"/>
    <n v="374"/>
    <n v="450"/>
    <n v="9432"/>
    <n v="8882"/>
    <n v="158"/>
    <x v="1"/>
    <x v="2"/>
    <n v="0.19847328244274809"/>
  </r>
  <r>
    <x v="161"/>
    <x v="1"/>
    <x v="31"/>
    <x v="3"/>
    <s v="Check out our latest carousel on youtube!"/>
    <n v="2509"/>
    <n v="324"/>
    <n v="171"/>
    <n v="35126"/>
    <n v="34685"/>
    <n v="277"/>
    <x v="1"/>
    <x v="1"/>
    <n v="8.5520696919660646E-2"/>
  </r>
  <r>
    <x v="162"/>
    <x v="3"/>
    <x v="127"/>
    <x v="0"/>
    <s v="Check out our latest reel on facebook!"/>
    <n v="3718"/>
    <n v="385"/>
    <n v="310"/>
    <n v="70642"/>
    <n v="69749"/>
    <n v="233"/>
    <x v="1"/>
    <x v="1"/>
    <n v="6.246991874522239E-2"/>
  </r>
  <r>
    <x v="163"/>
    <x v="0"/>
    <x v="128"/>
    <x v="0"/>
    <s v="Check out our latest reel on twitter!"/>
    <n v="802"/>
    <n v="262"/>
    <n v="244"/>
    <n v="14436"/>
    <n v="14280"/>
    <n v="49"/>
    <x v="2"/>
    <x v="0"/>
    <n v="9.0606816292601824E-2"/>
  </r>
  <r>
    <x v="164"/>
    <x v="3"/>
    <x v="129"/>
    <x v="4"/>
    <s v="Check out our latest image on facebook!"/>
    <n v="1871"/>
    <n v="252"/>
    <n v="335"/>
    <n v="29936"/>
    <n v="29576"/>
    <n v="288"/>
    <x v="2"/>
    <x v="2"/>
    <n v="8.2108498129342594E-2"/>
  </r>
  <r>
    <x v="165"/>
    <x v="2"/>
    <x v="130"/>
    <x v="3"/>
    <s v="Check out our latest carousel on instagram!"/>
    <n v="3773"/>
    <n v="299"/>
    <n v="38"/>
    <n v="71687"/>
    <n v="71447"/>
    <n v="286"/>
    <x v="0"/>
    <x v="0"/>
    <n v="5.7332570758993957E-2"/>
  </r>
  <r>
    <x v="166"/>
    <x v="2"/>
    <x v="100"/>
    <x v="3"/>
    <s v="Check out our latest carousel on instagram!"/>
    <n v="2234"/>
    <n v="653"/>
    <n v="432"/>
    <n v="11170"/>
    <n v="10569"/>
    <n v="198"/>
    <x v="0"/>
    <x v="2"/>
    <n v="0.29713518352730528"/>
  </r>
  <r>
    <x v="167"/>
    <x v="0"/>
    <x v="92"/>
    <x v="5"/>
    <s v="Check out our latest video on twitter!"/>
    <n v="3820"/>
    <n v="697"/>
    <n v="268"/>
    <n v="45840"/>
    <n v="45631"/>
    <n v="171"/>
    <x v="1"/>
    <x v="3"/>
    <n v="0.1043848167539267"/>
  </r>
  <r>
    <x v="168"/>
    <x v="0"/>
    <x v="6"/>
    <x v="1"/>
    <s v="Check out our latest text on twitter!"/>
    <n v="941"/>
    <n v="121"/>
    <n v="458"/>
    <n v="14115"/>
    <n v="13838"/>
    <n v="87"/>
    <x v="2"/>
    <x v="0"/>
    <n v="0.10768685795253277"/>
  </r>
  <r>
    <x v="169"/>
    <x v="0"/>
    <x v="131"/>
    <x v="3"/>
    <s v="Check out our latest carousel on twitter!"/>
    <n v="4274"/>
    <n v="340"/>
    <n v="281"/>
    <n v="34192"/>
    <n v="33446"/>
    <n v="129"/>
    <x v="1"/>
    <x v="2"/>
    <n v="0.14316214319138981"/>
  </r>
  <r>
    <x v="170"/>
    <x v="1"/>
    <x v="6"/>
    <x v="5"/>
    <s v="Check out our latest video on youtube!"/>
    <n v="2949"/>
    <n v="476"/>
    <n v="403"/>
    <n v="44235"/>
    <n v="43705"/>
    <n v="135"/>
    <x v="1"/>
    <x v="1"/>
    <n v="8.6537809426924378E-2"/>
  </r>
  <r>
    <x v="171"/>
    <x v="0"/>
    <x v="132"/>
    <x v="5"/>
    <s v="Check out our latest video on twitter!"/>
    <n v="3160"/>
    <n v="204"/>
    <n v="297"/>
    <n v="44240"/>
    <n v="43666"/>
    <n v="49"/>
    <x v="0"/>
    <x v="3"/>
    <n v="8.2753164556962022E-2"/>
  </r>
  <r>
    <x v="172"/>
    <x v="1"/>
    <x v="106"/>
    <x v="4"/>
    <s v="Check out our latest image on youtube!"/>
    <n v="257"/>
    <n v="966"/>
    <n v="398"/>
    <n v="3341"/>
    <n v="2753"/>
    <n v="287"/>
    <x v="0"/>
    <x v="0"/>
    <n v="0.48518407662376534"/>
  </r>
  <r>
    <x v="173"/>
    <x v="0"/>
    <x v="133"/>
    <x v="3"/>
    <s v="Check out our latest carousel on twitter!"/>
    <n v="2120"/>
    <n v="38"/>
    <n v="212"/>
    <n v="12720"/>
    <n v="12564"/>
    <n v="21"/>
    <x v="0"/>
    <x v="3"/>
    <n v="0.18632075471698112"/>
  </r>
  <r>
    <x v="174"/>
    <x v="1"/>
    <x v="56"/>
    <x v="5"/>
    <s v="Check out our latest video on youtube!"/>
    <n v="3874"/>
    <n v="884"/>
    <n v="19"/>
    <n v="38740"/>
    <n v="38552"/>
    <n v="219"/>
    <x v="1"/>
    <x v="1"/>
    <n v="0.123309241094476"/>
  </r>
  <r>
    <x v="175"/>
    <x v="3"/>
    <x v="134"/>
    <x v="3"/>
    <s v="Check out our latest carousel on facebook!"/>
    <n v="2696"/>
    <n v="628"/>
    <n v="443"/>
    <n v="45832"/>
    <n v="45632"/>
    <n v="248"/>
    <x v="2"/>
    <x v="3"/>
    <n v="8.21914819340199E-2"/>
  </r>
  <r>
    <x v="176"/>
    <x v="2"/>
    <x v="0"/>
    <x v="4"/>
    <s v="Check out our latest image on instagram!"/>
    <n v="521"/>
    <n v="746"/>
    <n v="315"/>
    <n v="4168"/>
    <n v="3399"/>
    <n v="282"/>
    <x v="0"/>
    <x v="1"/>
    <n v="0.37955854126679461"/>
  </r>
  <r>
    <x v="177"/>
    <x v="3"/>
    <x v="135"/>
    <x v="4"/>
    <s v="Check out our latest image on facebook!"/>
    <n v="4872"/>
    <n v="925"/>
    <n v="176"/>
    <n v="82824"/>
    <n v="82543"/>
    <n v="89"/>
    <x v="2"/>
    <x v="1"/>
    <n v="7.2116777745580993E-2"/>
  </r>
  <r>
    <x v="178"/>
    <x v="1"/>
    <x v="81"/>
    <x v="2"/>
    <s v="Check out our latest story on youtube!"/>
    <n v="1509"/>
    <n v="88"/>
    <n v="163"/>
    <n v="30180"/>
    <n v="29689"/>
    <n v="119"/>
    <x v="2"/>
    <x v="1"/>
    <n v="5.8316766070245198E-2"/>
  </r>
  <r>
    <x v="179"/>
    <x v="3"/>
    <x v="75"/>
    <x v="3"/>
    <s v="Check out our latest carousel on facebook!"/>
    <n v="1869"/>
    <n v="453"/>
    <n v="490"/>
    <n v="14952"/>
    <n v="14309"/>
    <n v="275"/>
    <x v="1"/>
    <x v="3"/>
    <n v="0.18806848582129482"/>
  </r>
  <r>
    <x v="180"/>
    <x v="0"/>
    <x v="49"/>
    <x v="0"/>
    <s v="Check out our latest reel on twitter!"/>
    <n v="1188"/>
    <n v="470"/>
    <n v="174"/>
    <n v="7128"/>
    <n v="6145"/>
    <n v="270"/>
    <x v="1"/>
    <x v="3"/>
    <n v="0.25701459034792368"/>
  </r>
  <r>
    <x v="181"/>
    <x v="3"/>
    <x v="136"/>
    <x v="0"/>
    <s v="Check out our latest reel on facebook!"/>
    <n v="1814"/>
    <n v="653"/>
    <n v="363"/>
    <n v="25396"/>
    <n v="25286"/>
    <n v="39"/>
    <x v="0"/>
    <x v="0"/>
    <n v="0.11143487163332809"/>
  </r>
  <r>
    <x v="182"/>
    <x v="3"/>
    <x v="137"/>
    <x v="4"/>
    <s v="Check out our latest image on facebook!"/>
    <n v="602"/>
    <n v="594"/>
    <n v="156"/>
    <n v="4214"/>
    <n v="3363"/>
    <n v="164"/>
    <x v="1"/>
    <x v="2"/>
    <n v="0.32083531086853345"/>
  </r>
  <r>
    <x v="183"/>
    <x v="2"/>
    <x v="138"/>
    <x v="1"/>
    <s v="Check out our latest text on instagram!"/>
    <n v="246"/>
    <n v="149"/>
    <n v="130"/>
    <n v="4674"/>
    <n v="4390"/>
    <n v="217"/>
    <x v="0"/>
    <x v="2"/>
    <n v="0.11232349165596919"/>
  </r>
  <r>
    <x v="184"/>
    <x v="2"/>
    <x v="139"/>
    <x v="2"/>
    <s v="Check out our latest story on instagram!"/>
    <n v="4808"/>
    <n v="772"/>
    <n v="320"/>
    <n v="72120"/>
    <n v="71696"/>
    <n v="195"/>
    <x v="2"/>
    <x v="0"/>
    <n v="8.1808097615085965E-2"/>
  </r>
  <r>
    <x v="185"/>
    <x v="3"/>
    <x v="96"/>
    <x v="0"/>
    <s v="Check out our latest reel on facebook!"/>
    <n v="3663"/>
    <n v="17"/>
    <n v="295"/>
    <n v="51282"/>
    <n v="50567"/>
    <n v="84"/>
    <x v="2"/>
    <x v="2"/>
    <n v="7.7512577512577507E-2"/>
  </r>
  <r>
    <x v="186"/>
    <x v="2"/>
    <x v="134"/>
    <x v="1"/>
    <s v="Check out our latest text on instagram!"/>
    <n v="1430"/>
    <n v="376"/>
    <n v="33"/>
    <n v="21450"/>
    <n v="20509"/>
    <n v="251"/>
    <x v="0"/>
    <x v="0"/>
    <n v="8.5734265734265735E-2"/>
  </r>
  <r>
    <x v="187"/>
    <x v="0"/>
    <x v="140"/>
    <x v="2"/>
    <s v="Check out our latest story on twitter!"/>
    <n v="249"/>
    <n v="592"/>
    <n v="230"/>
    <n v="1494"/>
    <n v="1044"/>
    <n v="201"/>
    <x v="2"/>
    <x v="3"/>
    <n v="0.7168674698795181"/>
  </r>
  <r>
    <x v="188"/>
    <x v="3"/>
    <x v="36"/>
    <x v="4"/>
    <s v="Check out our latest image on facebook!"/>
    <n v="2382"/>
    <n v="265"/>
    <n v="134"/>
    <n v="38112"/>
    <n v="37437"/>
    <n v="249"/>
    <x v="0"/>
    <x v="3"/>
    <n v="7.2969143576826198E-2"/>
  </r>
  <r>
    <x v="189"/>
    <x v="3"/>
    <x v="122"/>
    <x v="4"/>
    <s v="Check out our latest image on facebook!"/>
    <n v="3196"/>
    <n v="941"/>
    <n v="376"/>
    <n v="35156"/>
    <n v="34444"/>
    <n v="241"/>
    <x v="1"/>
    <x v="2"/>
    <n v="0.1283706906360223"/>
  </r>
  <r>
    <x v="190"/>
    <x v="3"/>
    <x v="16"/>
    <x v="1"/>
    <s v="Check out our latest text on facebook!"/>
    <n v="1257"/>
    <n v="19"/>
    <n v="351"/>
    <n v="12570"/>
    <n v="11660"/>
    <n v="194"/>
    <x v="0"/>
    <x v="1"/>
    <n v="0.12943516308671441"/>
  </r>
  <r>
    <x v="191"/>
    <x v="2"/>
    <x v="102"/>
    <x v="2"/>
    <s v="Check out our latest story on instagram!"/>
    <n v="3770"/>
    <n v="917"/>
    <n v="129"/>
    <n v="71630"/>
    <n v="71322"/>
    <n v="76"/>
    <x v="0"/>
    <x v="0"/>
    <n v="6.7234398994834563E-2"/>
  </r>
  <r>
    <x v="192"/>
    <x v="0"/>
    <x v="141"/>
    <x v="1"/>
    <s v="Check out our latest text on twitter!"/>
    <n v="4725"/>
    <n v="400"/>
    <n v="362"/>
    <n v="75600"/>
    <n v="74927"/>
    <n v="43"/>
    <x v="0"/>
    <x v="3"/>
    <n v="7.2579365079365077E-2"/>
  </r>
  <r>
    <x v="193"/>
    <x v="0"/>
    <x v="14"/>
    <x v="3"/>
    <s v="Check out our latest carousel on twitter!"/>
    <n v="929"/>
    <n v="192"/>
    <n v="322"/>
    <n v="16722"/>
    <n v="15996"/>
    <n v="145"/>
    <x v="2"/>
    <x v="2"/>
    <n v="8.6293505561535699E-2"/>
  </r>
  <r>
    <x v="194"/>
    <x v="3"/>
    <x v="142"/>
    <x v="2"/>
    <s v="Check out our latest story on facebook!"/>
    <n v="4321"/>
    <n v="874"/>
    <n v="172"/>
    <n v="30247"/>
    <n v="29254"/>
    <n v="122"/>
    <x v="1"/>
    <x v="3"/>
    <n v="0.17743908486792079"/>
  </r>
  <r>
    <x v="195"/>
    <x v="3"/>
    <x v="67"/>
    <x v="0"/>
    <s v="Check out our latest reel on facebook!"/>
    <n v="4767"/>
    <n v="190"/>
    <n v="340"/>
    <n v="28602"/>
    <n v="28044"/>
    <n v="210"/>
    <x v="2"/>
    <x v="2"/>
    <n v="0.18519683938186141"/>
  </r>
  <r>
    <x v="196"/>
    <x v="0"/>
    <x v="143"/>
    <x v="4"/>
    <s v="Check out our latest image on twitter!"/>
    <n v="3592"/>
    <n v="911"/>
    <n v="375"/>
    <n v="50288"/>
    <n v="49490"/>
    <n v="32"/>
    <x v="0"/>
    <x v="3"/>
    <n v="9.7001272669424113E-2"/>
  </r>
  <r>
    <x v="197"/>
    <x v="1"/>
    <x v="144"/>
    <x v="5"/>
    <s v="Check out our latest video on youtube!"/>
    <n v="4661"/>
    <n v="935"/>
    <n v="433"/>
    <n v="23305"/>
    <n v="22583"/>
    <n v="63"/>
    <x v="0"/>
    <x v="2"/>
    <n v="0.25869984981763572"/>
  </r>
  <r>
    <x v="198"/>
    <x v="3"/>
    <x v="145"/>
    <x v="0"/>
    <s v="Check out our latest reel on facebook!"/>
    <n v="4134"/>
    <n v="824"/>
    <n v="99"/>
    <n v="41340"/>
    <n v="41050"/>
    <n v="177"/>
    <x v="2"/>
    <x v="0"/>
    <n v="0.12232704402515723"/>
  </r>
  <r>
    <x v="199"/>
    <x v="3"/>
    <x v="146"/>
    <x v="4"/>
    <s v="Check out our latest image on facebook!"/>
    <n v="400"/>
    <n v="680"/>
    <n v="434"/>
    <n v="6400"/>
    <n v="5472"/>
    <n v="160"/>
    <x v="0"/>
    <x v="1"/>
    <n v="0.23656250000000001"/>
  </r>
  <r>
    <x v="200"/>
    <x v="0"/>
    <x v="133"/>
    <x v="4"/>
    <s v="Check out our latest image on twitter!"/>
    <n v="827"/>
    <n v="77"/>
    <n v="402"/>
    <n v="14886"/>
    <n v="14129"/>
    <n v="254"/>
    <x v="2"/>
    <x v="1"/>
    <n v="8.7733440816874911E-2"/>
  </r>
  <r>
    <x v="201"/>
    <x v="3"/>
    <x v="111"/>
    <x v="3"/>
    <s v="Check out our latest carousel on facebook!"/>
    <n v="2089"/>
    <n v="476"/>
    <n v="69"/>
    <n v="16712"/>
    <n v="16309"/>
    <n v="64"/>
    <x v="0"/>
    <x v="2"/>
    <n v="0.15761129727142173"/>
  </r>
  <r>
    <x v="202"/>
    <x v="0"/>
    <x v="147"/>
    <x v="4"/>
    <s v="Check out our latest image on twitter!"/>
    <n v="2692"/>
    <n v="115"/>
    <n v="64"/>
    <n v="21536"/>
    <n v="21120"/>
    <n v="224"/>
    <x v="0"/>
    <x v="1"/>
    <n v="0.13331166419019316"/>
  </r>
  <r>
    <x v="203"/>
    <x v="3"/>
    <x v="1"/>
    <x v="2"/>
    <s v="Check out our latest story on facebook!"/>
    <n v="3767"/>
    <n v="514"/>
    <n v="238"/>
    <n v="37670"/>
    <n v="36807"/>
    <n v="226"/>
    <x v="0"/>
    <x v="3"/>
    <n v="0.11996283514733209"/>
  </r>
  <r>
    <x v="204"/>
    <x v="1"/>
    <x v="74"/>
    <x v="3"/>
    <s v="Check out our latest carousel on youtube!"/>
    <n v="2143"/>
    <n v="12"/>
    <n v="204"/>
    <n v="40717"/>
    <n v="40125"/>
    <n v="248"/>
    <x v="2"/>
    <x v="1"/>
    <n v="5.7936488444630008E-2"/>
  </r>
  <r>
    <x v="205"/>
    <x v="3"/>
    <x v="88"/>
    <x v="4"/>
    <s v="Check out our latest image on facebook!"/>
    <n v="3090"/>
    <n v="697"/>
    <n v="164"/>
    <n v="49440"/>
    <n v="48524"/>
    <n v="25"/>
    <x v="2"/>
    <x v="1"/>
    <n v="7.9915048543689318E-2"/>
  </r>
  <r>
    <x v="206"/>
    <x v="2"/>
    <x v="148"/>
    <x v="2"/>
    <s v="Check out our latest story on instagram!"/>
    <n v="3601"/>
    <n v="695"/>
    <n v="75"/>
    <n v="21606"/>
    <n v="21454"/>
    <n v="172"/>
    <x v="2"/>
    <x v="1"/>
    <n v="0.2023049153013052"/>
  </r>
  <r>
    <x v="207"/>
    <x v="3"/>
    <x v="149"/>
    <x v="1"/>
    <s v="Check out our latest text on facebook!"/>
    <n v="562"/>
    <n v="158"/>
    <n v="149"/>
    <n v="3372"/>
    <n v="2940"/>
    <n v="93"/>
    <x v="1"/>
    <x v="0"/>
    <n v="0.25771055753262156"/>
  </r>
  <r>
    <x v="208"/>
    <x v="2"/>
    <x v="150"/>
    <x v="2"/>
    <s v="Check out our latest story on instagram!"/>
    <n v="4332"/>
    <n v="771"/>
    <n v="219"/>
    <n v="60648"/>
    <n v="60397"/>
    <n v="10"/>
    <x v="1"/>
    <x v="2"/>
    <n v="8.7752275425405618E-2"/>
  </r>
  <r>
    <x v="209"/>
    <x v="2"/>
    <x v="151"/>
    <x v="4"/>
    <s v="Check out our latest image on instagram!"/>
    <n v="4853"/>
    <n v="837"/>
    <n v="340"/>
    <n v="72795"/>
    <n v="72237"/>
    <n v="170"/>
    <x v="2"/>
    <x v="0"/>
    <n v="8.2835359571399134E-2"/>
  </r>
  <r>
    <x v="210"/>
    <x v="2"/>
    <x v="152"/>
    <x v="0"/>
    <s v="Check out our latest reel on instagram!"/>
    <n v="2603"/>
    <n v="690"/>
    <n v="205"/>
    <n v="13015"/>
    <n v="12130"/>
    <n v="20"/>
    <x v="0"/>
    <x v="1"/>
    <n v="0.26876680752977333"/>
  </r>
  <r>
    <x v="211"/>
    <x v="0"/>
    <x v="153"/>
    <x v="4"/>
    <s v="Check out our latest image on twitter!"/>
    <n v="59"/>
    <n v="163"/>
    <n v="93"/>
    <n v="590"/>
    <n v="475"/>
    <n v="293"/>
    <x v="1"/>
    <x v="1"/>
    <n v="0.53389830508474578"/>
  </r>
  <r>
    <x v="212"/>
    <x v="0"/>
    <x v="154"/>
    <x v="3"/>
    <s v="Check out our latest carousel on twitter!"/>
    <n v="1877"/>
    <n v="745"/>
    <n v="225"/>
    <n v="11262"/>
    <n v="10967"/>
    <n v="41"/>
    <x v="2"/>
    <x v="3"/>
    <n v="0.25279701651571657"/>
  </r>
  <r>
    <x v="213"/>
    <x v="3"/>
    <x v="105"/>
    <x v="2"/>
    <s v="Check out our latest story on facebook!"/>
    <n v="4182"/>
    <n v="640"/>
    <n v="240"/>
    <n v="50184"/>
    <n v="49351"/>
    <n v="10"/>
    <x v="1"/>
    <x v="2"/>
    <n v="0.10086880280567512"/>
  </r>
  <r>
    <x v="214"/>
    <x v="2"/>
    <x v="155"/>
    <x v="0"/>
    <s v="Check out our latest reel on instagram!"/>
    <n v="4579"/>
    <n v="125"/>
    <n v="300"/>
    <n v="59527"/>
    <n v="59400"/>
    <n v="269"/>
    <x v="2"/>
    <x v="0"/>
    <n v="8.4062694239588759E-2"/>
  </r>
  <r>
    <x v="215"/>
    <x v="2"/>
    <x v="156"/>
    <x v="5"/>
    <s v="Check out our latest video on instagram!"/>
    <n v="4561"/>
    <n v="51"/>
    <n v="441"/>
    <n v="22805"/>
    <n v="21890"/>
    <n v="45"/>
    <x v="1"/>
    <x v="1"/>
    <n v="0.22157421618066214"/>
  </r>
  <r>
    <x v="216"/>
    <x v="1"/>
    <x v="128"/>
    <x v="0"/>
    <s v="Check out our latest reel on youtube!"/>
    <n v="3774"/>
    <n v="239"/>
    <n v="39"/>
    <n v="60384"/>
    <n v="59490"/>
    <n v="241"/>
    <x v="1"/>
    <x v="2"/>
    <n v="6.7103868574456813E-2"/>
  </r>
  <r>
    <x v="217"/>
    <x v="2"/>
    <x v="157"/>
    <x v="5"/>
    <s v="Check out our latest video on instagram!"/>
    <n v="3575"/>
    <n v="749"/>
    <n v="111"/>
    <n v="21450"/>
    <n v="20785"/>
    <n v="195"/>
    <x v="2"/>
    <x v="1"/>
    <n v="0.20675990675990677"/>
  </r>
  <r>
    <x v="218"/>
    <x v="2"/>
    <x v="158"/>
    <x v="1"/>
    <s v="Check out our latest text on instagram!"/>
    <n v="4941"/>
    <n v="414"/>
    <n v="266"/>
    <n v="39528"/>
    <n v="39154"/>
    <n v="217"/>
    <x v="1"/>
    <x v="2"/>
    <n v="0.14220299534507186"/>
  </r>
  <r>
    <x v="219"/>
    <x v="1"/>
    <x v="159"/>
    <x v="2"/>
    <s v="Check out our latest story on youtube!"/>
    <n v="3641"/>
    <n v="226"/>
    <n v="46"/>
    <n v="40051"/>
    <n v="39319"/>
    <n v="296"/>
    <x v="2"/>
    <x v="3"/>
    <n v="9.7700431949264685E-2"/>
  </r>
  <r>
    <x v="220"/>
    <x v="0"/>
    <x v="100"/>
    <x v="3"/>
    <s v="Check out our latest carousel on twitter!"/>
    <n v="3535"/>
    <n v="494"/>
    <n v="152"/>
    <n v="53025"/>
    <n v="52791"/>
    <n v="44"/>
    <x v="1"/>
    <x v="3"/>
    <n v="7.8849599245638849E-2"/>
  </r>
  <r>
    <x v="221"/>
    <x v="3"/>
    <x v="148"/>
    <x v="0"/>
    <s v="Check out our latest reel on facebook!"/>
    <n v="1741"/>
    <n v="831"/>
    <n v="345"/>
    <n v="17410"/>
    <n v="16844"/>
    <n v="58"/>
    <x v="2"/>
    <x v="2"/>
    <n v="0.16754738655944859"/>
  </r>
  <r>
    <x v="222"/>
    <x v="0"/>
    <x v="160"/>
    <x v="3"/>
    <s v="Check out our latest carousel on twitter!"/>
    <n v="1556"/>
    <n v="195"/>
    <n v="131"/>
    <n v="9336"/>
    <n v="8875"/>
    <n v="137"/>
    <x v="1"/>
    <x v="1"/>
    <n v="0.2015852613538989"/>
  </r>
  <r>
    <x v="223"/>
    <x v="3"/>
    <x v="88"/>
    <x v="4"/>
    <s v="Check out our latest image on facebook!"/>
    <n v="4236"/>
    <n v="711"/>
    <n v="298"/>
    <n v="21180"/>
    <n v="20516"/>
    <n v="238"/>
    <x v="0"/>
    <x v="0"/>
    <n v="0.24763928234183191"/>
  </r>
  <r>
    <x v="224"/>
    <x v="0"/>
    <x v="161"/>
    <x v="1"/>
    <s v="Check out our latest text on twitter!"/>
    <n v="4516"/>
    <n v="836"/>
    <n v="169"/>
    <n v="49676"/>
    <n v="49257"/>
    <n v="282"/>
    <x v="2"/>
    <x v="3"/>
    <n v="0.11114018842096787"/>
  </r>
  <r>
    <x v="225"/>
    <x v="1"/>
    <x v="55"/>
    <x v="4"/>
    <s v="Check out our latest image on youtube!"/>
    <n v="4905"/>
    <n v="845"/>
    <n v="129"/>
    <n v="98100"/>
    <n v="97772"/>
    <n v="279"/>
    <x v="1"/>
    <x v="1"/>
    <n v="5.9928644240570844E-2"/>
  </r>
  <r>
    <x v="226"/>
    <x v="1"/>
    <x v="47"/>
    <x v="5"/>
    <s v="Check out our latest video on youtube!"/>
    <n v="4275"/>
    <n v="680"/>
    <n v="385"/>
    <n v="64125"/>
    <n v="63650"/>
    <n v="104"/>
    <x v="2"/>
    <x v="3"/>
    <n v="8.3274853801169585E-2"/>
  </r>
  <r>
    <x v="227"/>
    <x v="1"/>
    <x v="162"/>
    <x v="4"/>
    <s v="Check out our latest image on youtube!"/>
    <n v="3166"/>
    <n v="90"/>
    <n v="341"/>
    <n v="56988"/>
    <n v="56125"/>
    <n v="135"/>
    <x v="2"/>
    <x v="1"/>
    <n v="6.3118551273952411E-2"/>
  </r>
  <r>
    <x v="228"/>
    <x v="2"/>
    <x v="163"/>
    <x v="5"/>
    <s v="Check out our latest video on instagram!"/>
    <n v="1488"/>
    <n v="417"/>
    <n v="168"/>
    <n v="19344"/>
    <n v="18395"/>
    <n v="30"/>
    <x v="0"/>
    <x v="2"/>
    <n v="0.1071650124069479"/>
  </r>
  <r>
    <x v="229"/>
    <x v="0"/>
    <x v="164"/>
    <x v="0"/>
    <s v="Check out our latest reel on twitter!"/>
    <n v="3367"/>
    <n v="302"/>
    <n v="57"/>
    <n v="63973"/>
    <n v="63789"/>
    <n v="157"/>
    <x v="0"/>
    <x v="1"/>
    <n v="5.8243321401216137E-2"/>
  </r>
  <r>
    <x v="230"/>
    <x v="0"/>
    <x v="24"/>
    <x v="1"/>
    <s v="Check out our latest text on twitter!"/>
    <n v="571"/>
    <n v="190"/>
    <n v="352"/>
    <n v="9707"/>
    <n v="9418"/>
    <n v="231"/>
    <x v="1"/>
    <x v="3"/>
    <n v="0.11465952405480581"/>
  </r>
  <r>
    <x v="231"/>
    <x v="1"/>
    <x v="165"/>
    <x v="5"/>
    <s v="Check out our latest video on youtube!"/>
    <n v="3389"/>
    <n v="344"/>
    <n v="229"/>
    <n v="20334"/>
    <n v="19443"/>
    <n v="228"/>
    <x v="0"/>
    <x v="2"/>
    <n v="0.19484607062063539"/>
  </r>
  <r>
    <x v="232"/>
    <x v="2"/>
    <x v="124"/>
    <x v="0"/>
    <s v="Check out our latest reel on instagram!"/>
    <n v="1164"/>
    <n v="616"/>
    <n v="324"/>
    <n v="6984"/>
    <n v="6636"/>
    <n v="82"/>
    <x v="2"/>
    <x v="0"/>
    <n v="0.30126002290950743"/>
  </r>
  <r>
    <x v="233"/>
    <x v="1"/>
    <x v="166"/>
    <x v="3"/>
    <s v="Check out our latest carousel on youtube!"/>
    <n v="4780"/>
    <n v="691"/>
    <n v="380"/>
    <n v="86040"/>
    <n v="85743"/>
    <n v="262"/>
    <x v="0"/>
    <x v="2"/>
    <n v="6.800325430032543E-2"/>
  </r>
  <r>
    <x v="234"/>
    <x v="2"/>
    <x v="167"/>
    <x v="3"/>
    <s v="Check out our latest carousel on instagram!"/>
    <n v="2107"/>
    <n v="550"/>
    <n v="349"/>
    <n v="35819"/>
    <n v="35340"/>
    <n v="191"/>
    <x v="2"/>
    <x v="3"/>
    <n v="8.3921940869371006E-2"/>
  </r>
  <r>
    <x v="235"/>
    <x v="3"/>
    <x v="21"/>
    <x v="5"/>
    <s v="Check out our latest video on facebook!"/>
    <n v="4663"/>
    <n v="145"/>
    <n v="225"/>
    <n v="69945"/>
    <n v="69596"/>
    <n v="35"/>
    <x v="2"/>
    <x v="3"/>
    <n v="7.1956537279290869E-2"/>
  </r>
  <r>
    <x v="236"/>
    <x v="3"/>
    <x v="168"/>
    <x v="1"/>
    <s v="Check out our latest text on facebook!"/>
    <n v="2634"/>
    <n v="726"/>
    <n v="241"/>
    <n v="28974"/>
    <n v="28102"/>
    <n v="277"/>
    <x v="2"/>
    <x v="0"/>
    <n v="0.12428384068475185"/>
  </r>
  <r>
    <x v="237"/>
    <x v="3"/>
    <x v="169"/>
    <x v="3"/>
    <s v="Check out our latest carousel on facebook!"/>
    <n v="4731"/>
    <n v="173"/>
    <n v="276"/>
    <n v="28386"/>
    <n v="28185"/>
    <n v="89"/>
    <x v="2"/>
    <x v="2"/>
    <n v="0.18248432325794406"/>
  </r>
  <r>
    <x v="238"/>
    <x v="0"/>
    <x v="135"/>
    <x v="4"/>
    <s v="Check out our latest image on twitter!"/>
    <n v="1952"/>
    <n v="344"/>
    <n v="287"/>
    <n v="15616"/>
    <n v="15403"/>
    <n v="235"/>
    <x v="0"/>
    <x v="1"/>
    <n v="0.16540727459016394"/>
  </r>
  <r>
    <x v="239"/>
    <x v="0"/>
    <x v="170"/>
    <x v="5"/>
    <s v="Check out our latest video on twitter!"/>
    <n v="3440"/>
    <n v="13"/>
    <n v="20"/>
    <n v="58480"/>
    <n v="58146"/>
    <n v="210"/>
    <x v="1"/>
    <x v="3"/>
    <n v="5.9387824897400819E-2"/>
  </r>
  <r>
    <x v="240"/>
    <x v="0"/>
    <x v="171"/>
    <x v="1"/>
    <s v="Check out our latest text on twitter!"/>
    <n v="2166"/>
    <n v="354"/>
    <n v="117"/>
    <n v="10830"/>
    <n v="10245"/>
    <n v="24"/>
    <x v="2"/>
    <x v="3"/>
    <n v="0.24349030470914126"/>
  </r>
  <r>
    <x v="241"/>
    <x v="3"/>
    <x v="13"/>
    <x v="4"/>
    <s v="Check out our latest image on facebook!"/>
    <n v="4303"/>
    <n v="451"/>
    <n v="286"/>
    <n v="86060"/>
    <n v="85823"/>
    <n v="14"/>
    <x v="1"/>
    <x v="2"/>
    <n v="5.8563792702765516E-2"/>
  </r>
  <r>
    <x v="242"/>
    <x v="3"/>
    <x v="14"/>
    <x v="4"/>
    <s v="Check out our latest image on facebook!"/>
    <n v="2581"/>
    <n v="517"/>
    <n v="117"/>
    <n v="23229"/>
    <n v="22331"/>
    <n v="70"/>
    <x v="0"/>
    <x v="2"/>
    <n v="0.13840458048129492"/>
  </r>
  <r>
    <x v="243"/>
    <x v="0"/>
    <x v="172"/>
    <x v="3"/>
    <s v="Check out our latest carousel on twitter!"/>
    <n v="4494"/>
    <n v="717"/>
    <n v="45"/>
    <n v="62916"/>
    <n v="62688"/>
    <n v="191"/>
    <x v="1"/>
    <x v="0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5E199-8C2D-467F-B4B5-6A5295CC480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17">
    <pivotField showAll="0"/>
    <pivotField showAll="0"/>
    <pivotField numFmtId="14" showAll="0" defaultSubtotal="0">
      <items count="173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 v="1"/>
    </i>
    <i>
      <x v="2"/>
    </i>
    <i t="grand">
      <x/>
    </i>
  </colItems>
  <dataFields count="1">
    <dataField name="Count of Hashtags Used" fld="1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0493E-E5A8-4908-9E5D-56B8E166654E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C7" firstHeaderRow="1" firstDataRow="2" firstDataCol="1"/>
  <pivotFields count="17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0"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11"/>
  </rowFields>
  <rowItems count="3">
    <i>
      <x/>
    </i>
    <i>
      <x v="1"/>
    </i>
    <i>
      <x v="2"/>
    </i>
  </rowItems>
  <colFields count="1">
    <field x="16"/>
  </colFields>
  <colItems count="2">
    <i>
      <x v="1"/>
    </i>
    <i>
      <x v="2"/>
    </i>
  </colItems>
  <dataFields count="1">
    <dataField name="Average of Enggagement Rate" fld="13" subtotal="average" showDataAs="percentOfTotal" baseField="11" baseItem="0" numFmtId="1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6" count="1" selected="0">
            <x v="2"/>
          </reference>
        </references>
      </pivotArea>
    </chartFormat>
    <chartFormat chart="0" format="2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6" count="1" selected="0">
            <x v="1"/>
          </reference>
        </references>
      </pivotArea>
    </chartFormat>
    <chartFormat chart="0" format="2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6" count="1" selected="0">
            <x v="2"/>
          </reference>
        </references>
      </pivotArea>
    </chartFormat>
    <chartFormat chart="0" format="2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6" count="1" selected="0">
            <x v="1"/>
          </reference>
        </references>
      </pivotArea>
    </chartFormat>
    <chartFormat chart="0" format="2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C537F-41AB-4FB3-9EF3-C682D11C056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7">
    <pivotField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nggagement Rate" fld="13" showDataAs="percentOfTotal" baseField="3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9E2BA-55F1-460D-9B8F-F2C6BF207D39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E10" firstHeaderRow="1" firstDataRow="2" firstDataCol="1"/>
  <pivotFields count="17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axis="axisRow" dataField="1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Count of Content Type" fld="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085C7-13A1-4A44-997B-1B72606D4967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G7" firstHeaderRow="0" firstDataRow="1" firstDataCol="1"/>
  <pivotFields count="17">
    <pivotField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0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Impressions" fld="8" subtotal="average" baseField="12" baseItem="3"/>
    <dataField name="Average of Clicks2" fld="10" subtotal="average" baseField="12" baseItem="3"/>
    <dataField name="Average of Likes" fld="5" subtotal="average" baseField="12" baseItem="3"/>
    <dataField name="Sum of Likes2" fld="5" baseField="0" baseItem="0"/>
    <dataField name="Sum of Impressions2" fld="8" baseField="0" baseItem="0"/>
    <dataField name="Sum of Clicks" fld="10" baseField="0" baseItem="0"/>
  </dataFields>
  <formats count="4">
    <format dxfId="3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2" count="1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2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2" selected="0">
            <x v="1"/>
            <x v="2"/>
          </reference>
          <reference field="1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75464-DE53-4A94-99A8-9B4D86247CD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13" firstHeaderRow="1" firstDataRow="1" firstDataCol="1"/>
  <pivotFields count="17">
    <pivotField axis="axisRow" showAll="0" measureFilter="1" sortType="descending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0">
    <i>
      <x v="48"/>
    </i>
    <i>
      <x v="187"/>
    </i>
    <i>
      <x v="144"/>
    </i>
    <i>
      <x v="141"/>
    </i>
    <i>
      <x v="51"/>
    </i>
    <i>
      <x v="211"/>
    </i>
    <i>
      <x v="114"/>
    </i>
    <i>
      <x v="172"/>
    </i>
    <i>
      <x v="176"/>
    </i>
    <i>
      <x v="82"/>
    </i>
  </rowItems>
  <colItems count="1">
    <i/>
  </colItems>
  <dataFields count="1">
    <dataField name="Sum of Enggagement Rate" fld="13" baseField="0" baseItem="21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BE508-115B-472A-891B-BC91ED5EA41E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D31" firstHeaderRow="0" firstDataRow="1" firstDataCol="1"/>
  <pivotFields count="17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D1C48-F51A-4DF3-90E4-74428638FDF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7">
    <pivotField dataField="1"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ost ID" fld="0" subtotal="count" baseField="0" baseItem="0"/>
    <dataField name="Sum of Enggagement Rate" fld="13" showDataAs="percentOfTotal" baseField="11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69051-6512-4AE8-AC49-B5FC3519E3A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7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4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3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1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2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gagement Rate" fld="13" showDataAs="percentOfTotal" baseField="1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56862-FA34-4DFB-992A-7BAD26E04EC3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wth Rate" fld="8" showDataAs="percentOfTotal" baseField="1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74E9D-D17E-4B1E-A260-B423D3D5C0BC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9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Sum of Engagement_Rate" fld="5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84518-3F69-4F28-A95D-7885C4D5889E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33" firstHeaderRow="0" firstDataRow="1" firstDataCol="1"/>
  <pivotFields count="9">
    <pivotField axis="axisRow" showAll="0" sumSubtotal="1">
      <items count="51">
        <item h="1" x="0"/>
        <item h="1" x="1"/>
        <item h="1" x="2"/>
        <item h="1" x="3"/>
        <item x="4"/>
        <item x="5"/>
        <item x="6"/>
        <item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sum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0" showAll="0"/>
  </pivotFields>
  <rowFields count="2">
    <field x="1"/>
    <field x="0"/>
  </rowFields>
  <rowItems count="30">
    <i>
      <x/>
    </i>
    <i r="1">
      <x v="4"/>
    </i>
    <i r="1">
      <x v="5"/>
    </i>
    <i r="1">
      <x v="6"/>
    </i>
    <i r="1">
      <x v="7"/>
    </i>
    <i r="1">
      <x v="8"/>
    </i>
    <i>
      <x v="1"/>
    </i>
    <i r="1">
      <x v="4"/>
    </i>
    <i r="1">
      <x v="5"/>
    </i>
    <i r="1">
      <x v="6"/>
    </i>
    <i r="1">
      <x v="7"/>
    </i>
    <i r="1">
      <x v="8"/>
    </i>
    <i>
      <x v="2"/>
    </i>
    <i r="1">
      <x v="4"/>
    </i>
    <i r="1">
      <x v="5"/>
    </i>
    <i r="1">
      <x v="6"/>
    </i>
    <i r="1">
      <x v="7"/>
    </i>
    <i r="1">
      <x v="8"/>
    </i>
    <i>
      <x v="3"/>
    </i>
    <i r="1">
      <x v="4"/>
    </i>
    <i r="1">
      <x v="5"/>
    </i>
    <i r="1">
      <x v="6"/>
    </i>
    <i r="1">
      <x v="7"/>
    </i>
    <i r="1">
      <x v="8"/>
    </i>
    <i t="sum">
      <x v="1048832"/>
      <x v="4"/>
    </i>
    <i t="sum" r="1">
      <x v="5"/>
    </i>
    <i t="sum" r="1">
      <x v="6"/>
    </i>
    <i t="sum" r="1">
      <x v="7"/>
    </i>
    <i t="sum"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wth Rate" fld="8" showDataAs="percentOfTotal" baseField="1" baseItem="0" numFmtId="10"/>
    <dataField name="Sum of New_Follower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8BD3-4CD4-4779-AF7B-BB1527CCB537}">
  <dimension ref="A3:D8"/>
  <sheetViews>
    <sheetView workbookViewId="0">
      <selection activeCell="J15" sqref="J15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5" bestFit="1" customWidth="1"/>
    <col min="4" max="4" width="10.77734375" bestFit="1" customWidth="1"/>
    <col min="5" max="244" width="15.5546875" bestFit="1" customWidth="1"/>
    <col min="245" max="245" width="10.77734375" bestFit="1" customWidth="1"/>
  </cols>
  <sheetData>
    <row r="3" spans="1:4" x14ac:dyDescent="0.3">
      <c r="A3" s="16" t="s">
        <v>629</v>
      </c>
      <c r="B3" s="16" t="s">
        <v>630</v>
      </c>
    </row>
    <row r="4" spans="1:4" x14ac:dyDescent="0.3">
      <c r="A4" s="16" t="s">
        <v>613</v>
      </c>
      <c r="B4" t="s">
        <v>627</v>
      </c>
      <c r="C4" t="s">
        <v>628</v>
      </c>
      <c r="D4" t="s">
        <v>614</v>
      </c>
    </row>
    <row r="5" spans="1:4" x14ac:dyDescent="0.3">
      <c r="A5" s="17" t="s">
        <v>37</v>
      </c>
      <c r="B5">
        <v>55</v>
      </c>
      <c r="C5">
        <v>23</v>
      </c>
      <c r="D5">
        <v>78</v>
      </c>
    </row>
    <row r="6" spans="1:4" x14ac:dyDescent="0.3">
      <c r="A6" s="17" t="s">
        <v>62</v>
      </c>
      <c r="B6">
        <v>55</v>
      </c>
      <c r="C6">
        <v>29</v>
      </c>
      <c r="D6">
        <v>84</v>
      </c>
    </row>
    <row r="7" spans="1:4" x14ac:dyDescent="0.3">
      <c r="A7" s="17" t="s">
        <v>30</v>
      </c>
      <c r="B7">
        <v>48</v>
      </c>
      <c r="C7">
        <v>34</v>
      </c>
      <c r="D7">
        <v>82</v>
      </c>
    </row>
    <row r="8" spans="1:4" x14ac:dyDescent="0.3">
      <c r="A8" s="17" t="s">
        <v>614</v>
      </c>
      <c r="B8">
        <v>158</v>
      </c>
      <c r="C8">
        <v>86</v>
      </c>
      <c r="D8">
        <v>244</v>
      </c>
    </row>
  </sheetData>
  <sortState xmlns:xlrd2="http://schemas.microsoft.com/office/spreadsheetml/2017/richdata2" columnSort="1" ref="A3:C7">
    <sortCondition descending="1" ref="C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F460-F56E-40BE-BC7E-229CDDDA476D}">
  <dimension ref="A3:C7"/>
  <sheetViews>
    <sheetView workbookViewId="0">
      <selection activeCell="I22" sqref="I22"/>
    </sheetView>
  </sheetViews>
  <sheetFormatPr defaultRowHeight="14.4" x14ac:dyDescent="0.3"/>
  <cols>
    <col min="1" max="1" width="26.77734375" bestFit="1" customWidth="1"/>
    <col min="2" max="2" width="15.5546875" bestFit="1" customWidth="1"/>
    <col min="3" max="44" width="8" bestFit="1" customWidth="1"/>
    <col min="45" max="159" width="7" bestFit="1" customWidth="1"/>
    <col min="160" max="191" width="8" bestFit="1" customWidth="1"/>
    <col min="192" max="245" width="7" bestFit="1" customWidth="1"/>
  </cols>
  <sheetData>
    <row r="3" spans="1:3" x14ac:dyDescent="0.3">
      <c r="A3" s="16" t="s">
        <v>631</v>
      </c>
      <c r="B3" s="16" t="s">
        <v>630</v>
      </c>
    </row>
    <row r="4" spans="1:3" x14ac:dyDescent="0.3">
      <c r="A4" s="16" t="s">
        <v>613</v>
      </c>
      <c r="B4" t="s">
        <v>627</v>
      </c>
      <c r="C4" t="s">
        <v>628</v>
      </c>
    </row>
    <row r="5" spans="1:3" x14ac:dyDescent="0.3">
      <c r="A5" s="17" t="s">
        <v>37</v>
      </c>
      <c r="B5" s="18">
        <v>0.9049586619753146</v>
      </c>
      <c r="C5" s="18">
        <v>1.0979895229228862</v>
      </c>
    </row>
    <row r="6" spans="1:3" x14ac:dyDescent="0.3">
      <c r="A6" s="17" t="s">
        <v>62</v>
      </c>
      <c r="B6" s="18">
        <v>0.90915316684751435</v>
      </c>
      <c r="C6" s="18">
        <v>1.1280848695182306</v>
      </c>
    </row>
    <row r="7" spans="1:3" x14ac:dyDescent="0.3">
      <c r="A7" s="17" t="s">
        <v>30</v>
      </c>
      <c r="B7" s="18">
        <v>1.024985070641125</v>
      </c>
      <c r="C7" s="18">
        <v>1.0898925229622158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9FB-58C9-422C-A717-E2A2F6D57D91}">
  <dimension ref="A3:B10"/>
  <sheetViews>
    <sheetView workbookViewId="0">
      <selection activeCell="M19" sqref="M19"/>
    </sheetView>
  </sheetViews>
  <sheetFormatPr defaultRowHeight="14.4" x14ac:dyDescent="0.3"/>
  <cols>
    <col min="1" max="1" width="12.5546875" bestFit="1" customWidth="1"/>
    <col min="2" max="2" width="23.5546875" bestFit="1" customWidth="1"/>
  </cols>
  <sheetData>
    <row r="3" spans="1:2" x14ac:dyDescent="0.3">
      <c r="A3" s="16" t="s">
        <v>613</v>
      </c>
      <c r="B3" t="s">
        <v>615</v>
      </c>
    </row>
    <row r="4" spans="1:2" x14ac:dyDescent="0.3">
      <c r="A4" s="17" t="s">
        <v>45</v>
      </c>
      <c r="B4" s="18">
        <v>0.20778854150704329</v>
      </c>
    </row>
    <row r="5" spans="1:2" x14ac:dyDescent="0.3">
      <c r="A5" s="17" t="s">
        <v>52</v>
      </c>
      <c r="B5" s="18">
        <v>0.2147740827143699</v>
      </c>
    </row>
    <row r="6" spans="1:2" x14ac:dyDescent="0.3">
      <c r="A6" s="17" t="s">
        <v>16</v>
      </c>
      <c r="B6" s="18">
        <v>0.17442787291957879</v>
      </c>
    </row>
    <row r="7" spans="1:2" x14ac:dyDescent="0.3">
      <c r="A7" s="17" t="s">
        <v>35</v>
      </c>
      <c r="B7" s="18">
        <v>0.14857752207960509</v>
      </c>
    </row>
    <row r="8" spans="1:2" x14ac:dyDescent="0.3">
      <c r="A8" s="17" t="s">
        <v>22</v>
      </c>
      <c r="B8" s="18">
        <v>0.108833344659088</v>
      </c>
    </row>
    <row r="9" spans="1:2" x14ac:dyDescent="0.3">
      <c r="A9" s="17" t="s">
        <v>74</v>
      </c>
      <c r="B9" s="18">
        <v>0.14559863612031484</v>
      </c>
    </row>
    <row r="10" spans="1:2" x14ac:dyDescent="0.3">
      <c r="A10" s="17" t="s">
        <v>614</v>
      </c>
      <c r="B10" s="1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DB2D-2ECC-46A7-A94C-F535FE500C6F}">
  <dimension ref="A1:I245"/>
  <sheetViews>
    <sheetView workbookViewId="0">
      <selection activeCell="L14" sqref="L14"/>
    </sheetView>
  </sheetViews>
  <sheetFormatPr defaultRowHeight="14.4" x14ac:dyDescent="0.3"/>
  <cols>
    <col min="1" max="1" width="23" customWidth="1"/>
    <col min="2" max="2" width="21.88671875" customWidth="1"/>
    <col min="3" max="3" width="29" customWidth="1"/>
    <col min="6" max="6" width="18.109375" customWidth="1"/>
    <col min="7" max="7" width="22.21875" customWidth="1"/>
    <col min="8" max="8" width="23.77734375" customWidth="1"/>
    <col min="9" max="9" width="18.109375" customWidth="1"/>
  </cols>
  <sheetData>
    <row r="1" spans="1:9" x14ac:dyDescent="0.3">
      <c r="A1" s="25" t="s">
        <v>12</v>
      </c>
      <c r="B1" s="26" t="s">
        <v>591</v>
      </c>
      <c r="C1" s="26" t="s">
        <v>592</v>
      </c>
      <c r="D1" s="4" t="s">
        <v>0</v>
      </c>
      <c r="E1" s="5" t="s">
        <v>1</v>
      </c>
      <c r="F1" s="5" t="s">
        <v>2</v>
      </c>
      <c r="G1" s="42" t="s">
        <v>639</v>
      </c>
      <c r="H1" s="42" t="s">
        <v>647</v>
      </c>
      <c r="I1" s="45" t="s">
        <v>648</v>
      </c>
    </row>
    <row r="2" spans="1:9" x14ac:dyDescent="0.3">
      <c r="A2" s="28" t="s">
        <v>19</v>
      </c>
      <c r="B2" s="29">
        <v>45458</v>
      </c>
      <c r="C2" s="29">
        <v>45488</v>
      </c>
      <c r="D2" s="7" t="s">
        <v>13</v>
      </c>
      <c r="E2" s="8" t="s">
        <v>14</v>
      </c>
      <c r="F2" s="9">
        <v>45649</v>
      </c>
      <c r="G2" t="str">
        <f>IF(AND(F2&gt;=$B$2,F2&lt;=$C$2),"DURING","BEFORE")</f>
        <v>BEFORE</v>
      </c>
      <c r="H2" s="46">
        <f ca="1">AVERAGEIF($G$2:$G$245,"Before",'Preprocced Data'!N2)</f>
        <v>0.14589366552530003</v>
      </c>
      <c r="I2" s="46">
        <f ca="1">AVERAGEIF($G$2:$G$245,"During", 'Preprocced Data'!N2)</f>
        <v>0.10798060656298381</v>
      </c>
    </row>
    <row r="3" spans="1:9" x14ac:dyDescent="0.3">
      <c r="A3" s="32" t="s">
        <v>19</v>
      </c>
      <c r="B3" s="33">
        <v>45458</v>
      </c>
      <c r="C3" s="33">
        <v>45488</v>
      </c>
      <c r="D3" s="10" t="s">
        <v>20</v>
      </c>
      <c r="E3" s="11" t="s">
        <v>14</v>
      </c>
      <c r="F3" s="12">
        <v>45750</v>
      </c>
      <c r="G3" t="str">
        <f t="shared" ref="G3:G66" si="0">IF(AND(F3&gt;=$B$2,F3&lt;=$C$2),"DURING","BEFORE")</f>
        <v>BEFORE</v>
      </c>
      <c r="H3" s="46">
        <f ca="1">AVERAGEIF($G$2:$G$245,"Before",'Preprocced Data'!N3)</f>
        <v>0.14409170503855698</v>
      </c>
      <c r="I3" s="46">
        <f ca="1">AVERAGEIF($G$2:$G$245,"During", 'Preprocced Data'!N3)</f>
        <v>0.13082916158676286</v>
      </c>
    </row>
    <row r="4" spans="1:9" x14ac:dyDescent="0.3">
      <c r="A4" s="28" t="s">
        <v>19</v>
      </c>
      <c r="B4" s="29">
        <v>45458</v>
      </c>
      <c r="C4" s="29">
        <v>45488</v>
      </c>
      <c r="D4" s="7" t="s">
        <v>26</v>
      </c>
      <c r="E4" s="8" t="s">
        <v>27</v>
      </c>
      <c r="F4" s="9">
        <v>45789</v>
      </c>
      <c r="G4" t="str">
        <f t="shared" si="0"/>
        <v>BEFORE</v>
      </c>
      <c r="H4" s="46">
        <f ca="1">AVERAGEIF($G$2:$G$245,"Before",'Preprocced Data'!N4)</f>
        <v>0.13695591772947421</v>
      </c>
      <c r="I4" s="46">
        <f ca="1">AVERAGEIF($G$2:$G$245,"During", 'Preprocced Data'!N4)</f>
        <v>0.21343610190438872</v>
      </c>
    </row>
    <row r="5" spans="1:9" x14ac:dyDescent="0.3">
      <c r="A5" s="32" t="s">
        <v>19</v>
      </c>
      <c r="B5" s="33">
        <v>45458</v>
      </c>
      <c r="C5" s="33">
        <v>45488</v>
      </c>
      <c r="D5" s="10" t="s">
        <v>32</v>
      </c>
      <c r="E5" s="11" t="s">
        <v>33</v>
      </c>
      <c r="F5" s="12">
        <v>45516</v>
      </c>
      <c r="G5" t="str">
        <f t="shared" si="0"/>
        <v>BEFORE</v>
      </c>
      <c r="H5" s="46">
        <f ca="1">AVERAGEIF($G$2:$G$245,"Before",'Preprocced Data'!N5)</f>
        <v>0.13903028191162375</v>
      </c>
      <c r="I5" s="46">
        <f ca="1">AVERAGEIF($G$2:$G$245,"During", 'Preprocced Data'!N5)</f>
        <v>0.19458559886763038</v>
      </c>
    </row>
    <row r="6" spans="1:9" x14ac:dyDescent="0.3">
      <c r="A6" s="28" t="s">
        <v>25</v>
      </c>
      <c r="B6" s="29">
        <v>45566</v>
      </c>
      <c r="C6" s="29">
        <v>45596</v>
      </c>
      <c r="D6" s="7" t="s">
        <v>39</v>
      </c>
      <c r="E6" s="8" t="s">
        <v>27</v>
      </c>
      <c r="F6" s="9">
        <v>45469</v>
      </c>
      <c r="G6" t="str">
        <f t="shared" si="0"/>
        <v>DURING</v>
      </c>
      <c r="H6" s="46">
        <f ca="1">AVERAGEIF($G$2:$G$245,"Before",'Preprocced Data'!N6)</f>
        <v>0.14340351631430151</v>
      </c>
      <c r="I6" s="46">
        <f ca="1">AVERAGEIF($G$2:$G$245,"During", 'Preprocced Data'!N6)</f>
        <v>0.14587901789482099</v>
      </c>
    </row>
    <row r="7" spans="1:9" x14ac:dyDescent="0.3">
      <c r="A7" s="32" t="s">
        <v>25</v>
      </c>
      <c r="B7" s="33">
        <v>45566</v>
      </c>
      <c r="C7" s="33">
        <v>45596</v>
      </c>
      <c r="D7" s="10" t="s">
        <v>42</v>
      </c>
      <c r="E7" s="11" t="s">
        <v>43</v>
      </c>
      <c r="F7" s="12">
        <v>45596</v>
      </c>
      <c r="G7" t="str">
        <f t="shared" si="0"/>
        <v>BEFORE</v>
      </c>
      <c r="H7" s="46">
        <f ca="1">AVERAGEIF($G$2:$G$245,"Before",'Preprocced Data'!N7)</f>
        <v>0.14235486382932566</v>
      </c>
      <c r="I7" s="46">
        <f ca="1">AVERAGEIF($G$2:$G$245,"During", 'Preprocced Data'!N7)</f>
        <v>0.16125108376822414</v>
      </c>
    </row>
    <row r="8" spans="1:9" x14ac:dyDescent="0.3">
      <c r="A8" s="28" t="s">
        <v>31</v>
      </c>
      <c r="B8" s="29">
        <v>45651</v>
      </c>
      <c r="C8" s="29">
        <v>45667</v>
      </c>
      <c r="D8" s="7" t="s">
        <v>47</v>
      </c>
      <c r="E8" s="8" t="s">
        <v>14</v>
      </c>
      <c r="F8" s="9">
        <v>45467</v>
      </c>
      <c r="G8" t="str">
        <f t="shared" si="0"/>
        <v>DURING</v>
      </c>
      <c r="H8" s="46">
        <f ca="1">AVERAGEIF($G$2:$G$245,"Before",'Preprocced Data'!N8)</f>
        <v>0.14357677461615451</v>
      </c>
      <c r="I8" s="46">
        <f ca="1">AVERAGEIF($G$2:$G$245,"During", 'Preprocced Data'!N8)</f>
        <v>0.14607291958699117</v>
      </c>
    </row>
    <row r="9" spans="1:9" x14ac:dyDescent="0.3">
      <c r="A9" s="32" t="s">
        <v>31</v>
      </c>
      <c r="B9" s="33">
        <v>45651</v>
      </c>
      <c r="C9" s="33">
        <v>45667</v>
      </c>
      <c r="D9" s="10" t="s">
        <v>50</v>
      </c>
      <c r="E9" s="11" t="s">
        <v>27</v>
      </c>
      <c r="F9" s="12">
        <v>45486</v>
      </c>
      <c r="G9" t="str">
        <f t="shared" si="0"/>
        <v>DURING</v>
      </c>
      <c r="H9" s="46">
        <f ca="1">AVERAGEIF($G$2:$G$245,"Before",'Preprocced Data'!N9)</f>
        <v>0.14499360601420047</v>
      </c>
      <c r="I9" s="46">
        <f ca="1">AVERAGEIF($G$2:$G$245,"During", 'Preprocced Data'!N9)</f>
        <v>0.13380616453896943</v>
      </c>
    </row>
    <row r="10" spans="1:9" x14ac:dyDescent="0.3">
      <c r="A10" s="28" t="s">
        <v>38</v>
      </c>
      <c r="B10" s="29">
        <v>45717</v>
      </c>
      <c r="C10" s="29">
        <v>45747</v>
      </c>
      <c r="D10" s="7" t="s">
        <v>54</v>
      </c>
      <c r="E10" s="8" t="s">
        <v>43</v>
      </c>
      <c r="F10" s="9">
        <v>45534</v>
      </c>
      <c r="G10" t="str">
        <f t="shared" si="0"/>
        <v>BEFORE</v>
      </c>
      <c r="H10" s="46">
        <f ca="1">AVERAGEIF($G$2:$G$245,"Before",'Preprocced Data'!N10)</f>
        <v>0.14635254630245259</v>
      </c>
      <c r="I10" s="46">
        <f ca="1">AVERAGEIF($G$2:$G$245,"During", 'Preprocced Data'!N10)</f>
        <v>0.12047458389805765</v>
      </c>
    </row>
    <row r="11" spans="1:9" x14ac:dyDescent="0.3">
      <c r="A11" s="32" t="s">
        <v>38</v>
      </c>
      <c r="B11" s="33">
        <v>45717</v>
      </c>
      <c r="C11" s="33">
        <v>45747</v>
      </c>
      <c r="D11" s="10" t="s">
        <v>57</v>
      </c>
      <c r="E11" s="11" t="s">
        <v>43</v>
      </c>
      <c r="F11" s="12">
        <v>45727</v>
      </c>
      <c r="G11" t="str">
        <f t="shared" si="0"/>
        <v>BEFORE</v>
      </c>
      <c r="H11" s="46">
        <f ca="1">AVERAGEIF($G$2:$G$245,"Before",'Preprocced Data'!N11)</f>
        <v>0.14638154025745573</v>
      </c>
      <c r="I11" s="46">
        <f ca="1">AVERAGEIF($G$2:$G$245,"During", 'Preprocced Data'!N11)</f>
        <v>0.12321511651995266</v>
      </c>
    </row>
    <row r="12" spans="1:9" x14ac:dyDescent="0.3">
      <c r="A12" s="28" t="s">
        <v>38</v>
      </c>
      <c r="B12" s="29">
        <v>45717</v>
      </c>
      <c r="C12" s="29">
        <v>45747</v>
      </c>
      <c r="D12" s="7" t="s">
        <v>60</v>
      </c>
      <c r="E12" s="8" t="s">
        <v>33</v>
      </c>
      <c r="F12" s="9">
        <v>45690</v>
      </c>
      <c r="G12" t="str">
        <f t="shared" si="0"/>
        <v>BEFORE</v>
      </c>
      <c r="H12" s="46">
        <f ca="1">AVERAGEIF($G$2:$G$245,"Before",'Preprocced Data'!N12)</f>
        <v>0.14461207840131954</v>
      </c>
      <c r="I12" s="46">
        <f ca="1">AVERAGEIF($G$2:$G$245,"During", 'Preprocced Data'!N12)</f>
        <v>0.14715351060448603</v>
      </c>
    </row>
    <row r="13" spans="1:9" x14ac:dyDescent="0.3">
      <c r="A13" s="36" t="s">
        <v>38</v>
      </c>
      <c r="B13" s="37">
        <v>45717</v>
      </c>
      <c r="C13" s="37">
        <v>45747</v>
      </c>
      <c r="D13" s="10" t="s">
        <v>63</v>
      </c>
      <c r="E13" s="11" t="s">
        <v>43</v>
      </c>
      <c r="F13" s="12">
        <v>45494</v>
      </c>
      <c r="G13" t="str">
        <f t="shared" si="0"/>
        <v>BEFORE</v>
      </c>
      <c r="H13" s="46">
        <f ca="1">AVERAGEIF($G$2:$G$245,"Before",'Preprocced Data'!N13)</f>
        <v>0.14577844216136274</v>
      </c>
      <c r="I13" s="46">
        <f ca="1">AVERAGEIF($G$2:$G$245,"During", 'Preprocced Data'!N13)</f>
        <v>0.13553759178477801</v>
      </c>
    </row>
    <row r="14" spans="1:9" x14ac:dyDescent="0.3">
      <c r="D14" s="7" t="s">
        <v>66</v>
      </c>
      <c r="E14" s="8" t="s">
        <v>27</v>
      </c>
      <c r="F14" s="9">
        <v>45614</v>
      </c>
      <c r="G14" t="str">
        <f t="shared" si="0"/>
        <v>BEFORE</v>
      </c>
      <c r="H14" s="46">
        <f ca="1">AVERAGEIF($G$2:$G$245,"Before",'Preprocced Data'!N14)</f>
        <v>0.14330898415495874</v>
      </c>
      <c r="I14" s="46">
        <f ca="1">AVERAGEIF($G$2:$G$245,"During", 'Preprocced Data'!N14)</f>
        <v>0.16411227272772294</v>
      </c>
    </row>
    <row r="15" spans="1:9" x14ac:dyDescent="0.3">
      <c r="D15" s="10" t="s">
        <v>72</v>
      </c>
      <c r="E15" s="11" t="s">
        <v>43</v>
      </c>
      <c r="F15" s="12">
        <v>45589</v>
      </c>
      <c r="G15" t="str">
        <f t="shared" si="0"/>
        <v>BEFORE</v>
      </c>
      <c r="H15" s="46">
        <f ca="1">AVERAGEIF($G$2:$G$245,"Before",'Preprocced Data'!N15)</f>
        <v>0.14662158785244322</v>
      </c>
      <c r="I15" s="46">
        <f ca="1">AVERAGEIF($G$2:$G$245,"During", 'Preprocced Data'!N15)</f>
        <v>0.13070008440799546</v>
      </c>
    </row>
    <row r="16" spans="1:9" x14ac:dyDescent="0.3">
      <c r="D16" s="7" t="s">
        <v>76</v>
      </c>
      <c r="E16" s="8" t="s">
        <v>43</v>
      </c>
      <c r="F16" s="9">
        <v>45530</v>
      </c>
      <c r="G16" t="str">
        <f t="shared" si="0"/>
        <v>BEFORE</v>
      </c>
      <c r="H16" s="46">
        <f ca="1">AVERAGEIF($G$2:$G$245,"Before",'Preprocced Data'!N16)</f>
        <v>0.14821772499023331</v>
      </c>
      <c r="I16" s="46">
        <f ca="1">AVERAGEIF($G$2:$G$245,"During", 'Preprocced Data'!N16)</f>
        <v>0.11756445659388064</v>
      </c>
    </row>
    <row r="17" spans="4:9" x14ac:dyDescent="0.3">
      <c r="D17" s="10" t="s">
        <v>78</v>
      </c>
      <c r="E17" s="11" t="s">
        <v>43</v>
      </c>
      <c r="F17" s="12">
        <v>45782</v>
      </c>
      <c r="G17" t="str">
        <f t="shared" si="0"/>
        <v>BEFORE</v>
      </c>
      <c r="H17" s="46">
        <f ca="1">AVERAGEIF($G$2:$G$245,"Before",'Preprocced Data'!N17)</f>
        <v>0.14759397348635009</v>
      </c>
      <c r="I17" s="46">
        <f ca="1">AVERAGEIF($G$2:$G$245,"During", 'Preprocced Data'!N17)</f>
        <v>0.12826771064738607</v>
      </c>
    </row>
    <row r="18" spans="4:9" x14ac:dyDescent="0.3">
      <c r="D18" s="7" t="s">
        <v>80</v>
      </c>
      <c r="E18" s="8" t="s">
        <v>33</v>
      </c>
      <c r="F18" s="9">
        <v>45523</v>
      </c>
      <c r="G18" t="str">
        <f t="shared" si="0"/>
        <v>BEFORE</v>
      </c>
      <c r="H18" s="46">
        <f ca="1">AVERAGEIF($G$2:$G$245,"Before",'Preprocced Data'!N18)</f>
        <v>0.14805954847093403</v>
      </c>
      <c r="I18" s="46">
        <f ca="1">AVERAGEIF($G$2:$G$245,"During", 'Preprocced Data'!N18)</f>
        <v>0.12595472481425909</v>
      </c>
    </row>
    <row r="19" spans="4:9" x14ac:dyDescent="0.3">
      <c r="D19" s="10" t="s">
        <v>83</v>
      </c>
      <c r="E19" s="11" t="s">
        <v>33</v>
      </c>
      <c r="F19" s="12">
        <v>45466</v>
      </c>
      <c r="G19" t="str">
        <f t="shared" si="0"/>
        <v>DURING</v>
      </c>
      <c r="H19" s="46">
        <f ca="1">AVERAGEIF($G$2:$G$245,"Before",'Preprocced Data'!N19)</f>
        <v>0.14506828446586242</v>
      </c>
      <c r="I19" s="46">
        <f ca="1">AVERAGEIF($G$2:$G$245,"During", 'Preprocced Data'!N19)</f>
        <v>0.16107421109339648</v>
      </c>
    </row>
    <row r="20" spans="4:9" x14ac:dyDescent="0.3">
      <c r="D20" s="7" t="s">
        <v>86</v>
      </c>
      <c r="E20" s="8" t="s">
        <v>33</v>
      </c>
      <c r="F20" s="9">
        <v>45544</v>
      </c>
      <c r="G20" t="str">
        <f t="shared" si="0"/>
        <v>BEFORE</v>
      </c>
      <c r="H20" s="46">
        <f ca="1">AVERAGEIF($G$2:$G$245,"Before",'Preprocced Data'!N20)</f>
        <v>0.15057162083186093</v>
      </c>
      <c r="I20" s="46">
        <f ca="1">AVERAGEIF($G$2:$G$245,"During", 'Preprocced Data'!N20)</f>
        <v>0.10347080570067418</v>
      </c>
    </row>
    <row r="21" spans="4:9" x14ac:dyDescent="0.3">
      <c r="D21" s="10" t="s">
        <v>89</v>
      </c>
      <c r="E21" s="11" t="s">
        <v>33</v>
      </c>
      <c r="F21" s="12">
        <v>45661</v>
      </c>
      <c r="G21" t="str">
        <f t="shared" si="0"/>
        <v>BEFORE</v>
      </c>
      <c r="H21" s="46">
        <f ca="1">AVERAGEIF($G$2:$G$245,"Before",'Preprocced Data'!N21)</f>
        <v>0.14479307394872512</v>
      </c>
      <c r="I21" s="46">
        <f ca="1">AVERAGEIF($G$2:$G$245,"During", 'Preprocced Data'!N21)</f>
        <v>0.17068884022872977</v>
      </c>
    </row>
    <row r="22" spans="4:9" x14ac:dyDescent="0.3">
      <c r="D22" s="7" t="s">
        <v>91</v>
      </c>
      <c r="E22" s="8" t="s">
        <v>43</v>
      </c>
      <c r="F22" s="9">
        <v>45715</v>
      </c>
      <c r="G22" t="str">
        <f t="shared" si="0"/>
        <v>BEFORE</v>
      </c>
      <c r="H22" s="46">
        <f ca="1">AVERAGEIF($G$2:$G$245,"Before",'Preprocced Data'!N22)</f>
        <v>0.14743565059689551</v>
      </c>
      <c r="I22" s="46">
        <f ca="1">AVERAGEIF($G$2:$G$245,"During", 'Preprocced Data'!N22)</f>
        <v>0.14573175122437448</v>
      </c>
    </row>
    <row r="23" spans="4:9" x14ac:dyDescent="0.3">
      <c r="D23" s="10" t="s">
        <v>93</v>
      </c>
      <c r="E23" s="11" t="s">
        <v>43</v>
      </c>
      <c r="F23" s="12">
        <v>45602</v>
      </c>
      <c r="G23" t="str">
        <f t="shared" si="0"/>
        <v>BEFORE</v>
      </c>
      <c r="H23" s="46">
        <f ca="1">AVERAGEIF($G$2:$G$245,"Before",'Preprocced Data'!N23)</f>
        <v>0.14952609850697193</v>
      </c>
      <c r="I23" s="46">
        <f ca="1">AVERAGEIF($G$2:$G$245,"During", 'Preprocced Data'!N23)</f>
        <v>0.12682068232721908</v>
      </c>
    </row>
    <row r="24" spans="4:9" x14ac:dyDescent="0.3">
      <c r="D24" s="7" t="s">
        <v>96</v>
      </c>
      <c r="E24" s="8" t="s">
        <v>43</v>
      </c>
      <c r="F24" s="9">
        <v>45680</v>
      </c>
      <c r="G24" t="str">
        <f t="shared" si="0"/>
        <v>BEFORE</v>
      </c>
      <c r="H24" s="46">
        <f ca="1">AVERAGEIF($G$2:$G$245,"Before",'Preprocced Data'!N24)</f>
        <v>0.14584532243305656</v>
      </c>
      <c r="I24" s="46">
        <f ca="1">AVERAGEIF($G$2:$G$245,"During", 'Preprocced Data'!N24)</f>
        <v>0.1699709795110671</v>
      </c>
    </row>
    <row r="25" spans="4:9" x14ac:dyDescent="0.3">
      <c r="D25" s="10" t="s">
        <v>100</v>
      </c>
      <c r="E25" s="11" t="s">
        <v>27</v>
      </c>
      <c r="F25" s="12">
        <v>45752</v>
      </c>
      <c r="G25" t="str">
        <f t="shared" si="0"/>
        <v>BEFORE</v>
      </c>
      <c r="H25" s="46">
        <f ca="1">AVERAGEIF($G$2:$G$245,"Before",'Preprocced Data'!N25)</f>
        <v>0.1504056809488051</v>
      </c>
      <c r="I25" s="46">
        <f ca="1">AVERAGEIF($G$2:$G$245,"During", 'Preprocced Data'!N25)</f>
        <v>0.12537006211360327</v>
      </c>
    </row>
    <row r="26" spans="4:9" x14ac:dyDescent="0.3">
      <c r="D26" s="7" t="s">
        <v>102</v>
      </c>
      <c r="E26" s="8" t="s">
        <v>27</v>
      </c>
      <c r="F26" s="9">
        <v>45552</v>
      </c>
      <c r="G26" t="str">
        <f t="shared" si="0"/>
        <v>BEFORE</v>
      </c>
      <c r="H26" s="46">
        <f ca="1">AVERAGEIF($G$2:$G$245,"Before",'Preprocced Data'!N26)</f>
        <v>0.15104515812840988</v>
      </c>
      <c r="I26" s="46">
        <f ca="1">AVERAGEIF($G$2:$G$245,"During", 'Preprocced Data'!N26)</f>
        <v>0.12179848107523385</v>
      </c>
    </row>
    <row r="27" spans="4:9" x14ac:dyDescent="0.3">
      <c r="D27" s="10" t="s">
        <v>105</v>
      </c>
      <c r="E27" s="11" t="s">
        <v>33</v>
      </c>
      <c r="F27" s="12">
        <v>45720</v>
      </c>
      <c r="G27" t="str">
        <f t="shared" si="0"/>
        <v>BEFORE</v>
      </c>
      <c r="H27" s="46">
        <f ca="1">AVERAGEIF($G$2:$G$245,"Before",'Preprocced Data'!N27)</f>
        <v>0.14847271195103914</v>
      </c>
      <c r="I27" s="46">
        <f ca="1">AVERAGEIF($G$2:$G$245,"During", 'Preprocced Data'!N27)</f>
        <v>0.15306336042618482</v>
      </c>
    </row>
    <row r="28" spans="4:9" x14ac:dyDescent="0.3">
      <c r="D28" s="7" t="s">
        <v>107</v>
      </c>
      <c r="E28" s="8" t="s">
        <v>33</v>
      </c>
      <c r="F28" s="9">
        <v>45688</v>
      </c>
      <c r="G28" t="str">
        <f t="shared" si="0"/>
        <v>BEFORE</v>
      </c>
      <c r="H28" s="46">
        <f ca="1">AVERAGEIF($G$2:$G$245,"Before",'Preprocced Data'!N28)</f>
        <v>0.14844907988013559</v>
      </c>
      <c r="I28" s="46">
        <f ca="1">AVERAGEIF($G$2:$G$245,"During", 'Preprocced Data'!N28)</f>
        <v>0.15214770660482593</v>
      </c>
    </row>
    <row r="29" spans="4:9" x14ac:dyDescent="0.3">
      <c r="D29" s="10" t="s">
        <v>111</v>
      </c>
      <c r="E29" s="11" t="s">
        <v>33</v>
      </c>
      <c r="F29" s="12">
        <v>45642</v>
      </c>
      <c r="G29" t="str">
        <f t="shared" si="0"/>
        <v>BEFORE</v>
      </c>
      <c r="H29" s="46">
        <f ca="1">AVERAGEIF($G$2:$G$245,"Before",'Preprocced Data'!N29)</f>
        <v>0.14670949797195812</v>
      </c>
      <c r="I29" s="46">
        <f ca="1">AVERAGEIF($G$2:$G$245,"During", 'Preprocced Data'!N29)</f>
        <v>0.16692692964080913</v>
      </c>
    </row>
    <row r="30" spans="4:9" x14ac:dyDescent="0.3">
      <c r="D30" s="7" t="s">
        <v>114</v>
      </c>
      <c r="E30" s="8" t="s">
        <v>14</v>
      </c>
      <c r="F30" s="9">
        <v>45504</v>
      </c>
      <c r="G30" t="str">
        <f t="shared" si="0"/>
        <v>BEFORE</v>
      </c>
      <c r="H30" s="46">
        <f ca="1">AVERAGEIF($G$2:$G$245,"Before",'Preprocced Data'!N30)</f>
        <v>0.15015028107256689</v>
      </c>
      <c r="I30" s="46">
        <f ca="1">AVERAGEIF($G$2:$G$245,"During", 'Preprocced Data'!N30)</f>
        <v>0.12410706227458763</v>
      </c>
    </row>
    <row r="31" spans="4:9" x14ac:dyDescent="0.3">
      <c r="D31" s="10" t="s">
        <v>116</v>
      </c>
      <c r="E31" s="11" t="s">
        <v>43</v>
      </c>
      <c r="F31" s="12">
        <v>45525</v>
      </c>
      <c r="G31" t="str">
        <f t="shared" si="0"/>
        <v>BEFORE</v>
      </c>
      <c r="H31" s="46">
        <f ca="1">AVERAGEIF($G$2:$G$245,"Before",'Preprocced Data'!N31)</f>
        <v>0.14143989728229311</v>
      </c>
      <c r="I31" s="46">
        <f ca="1">AVERAGEIF($G$2:$G$245,"During", 'Preprocced Data'!N31)</f>
        <v>0.21181767741949162</v>
      </c>
    </row>
    <row r="32" spans="4:9" x14ac:dyDescent="0.3">
      <c r="D32" s="7" t="s">
        <v>118</v>
      </c>
      <c r="E32" s="8" t="s">
        <v>43</v>
      </c>
      <c r="F32" s="9">
        <v>45742</v>
      </c>
      <c r="G32" t="str">
        <f t="shared" si="0"/>
        <v>BEFORE</v>
      </c>
      <c r="H32" s="46">
        <f ca="1">AVERAGEIF($G$2:$G$245,"Before",'Preprocced Data'!N32)</f>
        <v>0.14692648657475418</v>
      </c>
      <c r="I32" s="46">
        <f ca="1">AVERAGEIF($G$2:$G$245,"During", 'Preprocced Data'!N32)</f>
        <v>0.15622513378117073</v>
      </c>
    </row>
    <row r="33" spans="4:9" x14ac:dyDescent="0.3">
      <c r="D33" s="10" t="s">
        <v>120</v>
      </c>
      <c r="E33" s="11" t="s">
        <v>33</v>
      </c>
      <c r="F33" s="12">
        <v>45626</v>
      </c>
      <c r="G33" t="str">
        <f t="shared" si="0"/>
        <v>BEFORE</v>
      </c>
      <c r="H33" s="46">
        <f ca="1">AVERAGEIF($G$2:$G$245,"Before",'Preprocced Data'!N33)</f>
        <v>0.14633279942835009</v>
      </c>
      <c r="I33" s="46">
        <f ca="1">AVERAGEIF($G$2:$G$245,"During", 'Preprocced Data'!N33)</f>
        <v>0.16630658549656188</v>
      </c>
    </row>
    <row r="34" spans="4:9" x14ac:dyDescent="0.3">
      <c r="D34" s="7" t="s">
        <v>122</v>
      </c>
      <c r="E34" s="8" t="s">
        <v>33</v>
      </c>
      <c r="F34" s="9">
        <v>45766</v>
      </c>
      <c r="G34" t="str">
        <f t="shared" si="0"/>
        <v>BEFORE</v>
      </c>
      <c r="H34" s="46">
        <f ca="1">AVERAGEIF($G$2:$G$245,"Before",'Preprocced Data'!N34)</f>
        <v>0.1457156258575073</v>
      </c>
      <c r="I34" s="46">
        <f ca="1">AVERAGEIF($G$2:$G$245,"During", 'Preprocced Data'!N34)</f>
        <v>0.1740345154295142</v>
      </c>
    </row>
    <row r="35" spans="4:9" x14ac:dyDescent="0.3">
      <c r="D35" s="10" t="s">
        <v>124</v>
      </c>
      <c r="E35" s="11" t="s">
        <v>43</v>
      </c>
      <c r="F35" s="12">
        <v>45663</v>
      </c>
      <c r="G35" t="str">
        <f t="shared" si="0"/>
        <v>BEFORE</v>
      </c>
      <c r="H35" s="46">
        <f ca="1">AVERAGEIF($G$2:$G$245,"Before",'Preprocced Data'!N35)</f>
        <v>0.14993818257116867</v>
      </c>
      <c r="I35" s="46">
        <f ca="1">AVERAGEIF($G$2:$G$245,"During", 'Preprocced Data'!N35)</f>
        <v>0.1350061576056637</v>
      </c>
    </row>
    <row r="36" spans="4:9" x14ac:dyDescent="0.3">
      <c r="D36" s="7" t="s">
        <v>126</v>
      </c>
      <c r="E36" s="8" t="s">
        <v>27</v>
      </c>
      <c r="F36" s="9">
        <v>45705</v>
      </c>
      <c r="G36" t="str">
        <f t="shared" si="0"/>
        <v>BEFORE</v>
      </c>
      <c r="H36" s="46">
        <f ca="1">AVERAGEIF($G$2:$G$245,"Before",'Preprocced Data'!N36)</f>
        <v>0.14510937962384249</v>
      </c>
      <c r="I36" s="46">
        <f ca="1">AVERAGEIF($G$2:$G$245,"During", 'Preprocced Data'!N36)</f>
        <v>0.18208700878958983</v>
      </c>
    </row>
    <row r="37" spans="4:9" x14ac:dyDescent="0.3">
      <c r="D37" s="10" t="s">
        <v>130</v>
      </c>
      <c r="E37" s="11" t="s">
        <v>14</v>
      </c>
      <c r="F37" s="12">
        <v>45723</v>
      </c>
      <c r="G37" t="str">
        <f t="shared" si="0"/>
        <v>BEFORE</v>
      </c>
      <c r="H37" s="46">
        <f ca="1">AVERAGEIF($G$2:$G$245,"Before",'Preprocced Data'!N37)</f>
        <v>0.15068517644544691</v>
      </c>
      <c r="I37" s="46">
        <f ca="1">AVERAGEIF($G$2:$G$245,"During", 'Preprocced Data'!N37)</f>
        <v>0.12734689583826309</v>
      </c>
    </row>
    <row r="38" spans="4:9" x14ac:dyDescent="0.3">
      <c r="D38" s="7" t="s">
        <v>133</v>
      </c>
      <c r="E38" s="8" t="s">
        <v>33</v>
      </c>
      <c r="F38" s="9">
        <v>45724</v>
      </c>
      <c r="G38" t="str">
        <f t="shared" si="0"/>
        <v>BEFORE</v>
      </c>
      <c r="H38" s="46">
        <f ca="1">AVERAGEIF($G$2:$G$245,"Before",'Preprocced Data'!N38)</f>
        <v>0.1510907577878291</v>
      </c>
      <c r="I38" s="46">
        <f ca="1">AVERAGEIF($G$2:$G$245,"During", 'Preprocced Data'!N38)</f>
        <v>0.12388034667474257</v>
      </c>
    </row>
    <row r="39" spans="4:9" x14ac:dyDescent="0.3">
      <c r="D39" s="10" t="s">
        <v>137</v>
      </c>
      <c r="E39" s="11" t="s">
        <v>33</v>
      </c>
      <c r="F39" s="12">
        <v>45640</v>
      </c>
      <c r="G39" t="str">
        <f t="shared" si="0"/>
        <v>BEFORE</v>
      </c>
      <c r="H39" s="46">
        <f ca="1">AVERAGEIF($G$2:$G$245,"Before",'Preprocced Data'!N39)</f>
        <v>0.14398063803677658</v>
      </c>
      <c r="I39" s="46">
        <f ca="1">AVERAGEIF($G$2:$G$245,"During", 'Preprocced Data'!N39)</f>
        <v>0.19248355258586028</v>
      </c>
    </row>
    <row r="40" spans="4:9" x14ac:dyDescent="0.3">
      <c r="D40" s="7" t="s">
        <v>141</v>
      </c>
      <c r="E40" s="8" t="s">
        <v>43</v>
      </c>
      <c r="F40" s="9">
        <v>45597</v>
      </c>
      <c r="G40" t="str">
        <f t="shared" si="0"/>
        <v>BEFORE</v>
      </c>
      <c r="H40" s="46">
        <f ca="1">AVERAGEIF($G$2:$G$245,"Before",'Preprocced Data'!N40)</f>
        <v>0.14894310842181496</v>
      </c>
      <c r="I40" s="46">
        <f ca="1">AVERAGEIF($G$2:$G$245,"During", 'Preprocced Data'!N40)</f>
        <v>0.13973288976930118</v>
      </c>
    </row>
    <row r="41" spans="4:9" x14ac:dyDescent="0.3">
      <c r="D41" s="10" t="s">
        <v>143</v>
      </c>
      <c r="E41" s="11" t="s">
        <v>14</v>
      </c>
      <c r="F41" s="12">
        <v>45779</v>
      </c>
      <c r="G41" t="str">
        <f t="shared" si="0"/>
        <v>BEFORE</v>
      </c>
      <c r="H41" s="46">
        <f ca="1">AVERAGEIF($G$2:$G$245,"Before",'Preprocced Data'!N41)</f>
        <v>0.14909742329487258</v>
      </c>
      <c r="I41" s="46">
        <f ca="1">AVERAGEIF($G$2:$G$245,"During", 'Preprocced Data'!N41)</f>
        <v>0.14210187081808515</v>
      </c>
    </row>
    <row r="42" spans="4:9" x14ac:dyDescent="0.3">
      <c r="D42" s="7" t="s">
        <v>150</v>
      </c>
      <c r="E42" s="8" t="s">
        <v>14</v>
      </c>
      <c r="F42" s="9">
        <v>45453</v>
      </c>
      <c r="G42" t="str">
        <f t="shared" si="0"/>
        <v>BEFORE</v>
      </c>
      <c r="H42" s="46">
        <f ca="1">AVERAGEIF($G$2:$G$245,"Before",'Preprocced Data'!N42)</f>
        <v>0.15134626190924796</v>
      </c>
      <c r="I42" s="46">
        <f ca="1">AVERAGEIF($G$2:$G$245,"During", 'Preprocced Data'!N42)</f>
        <v>0.11916381295356206</v>
      </c>
    </row>
    <row r="43" spans="4:9" x14ac:dyDescent="0.3">
      <c r="D43" s="10" t="s">
        <v>152</v>
      </c>
      <c r="E43" s="11" t="s">
        <v>27</v>
      </c>
      <c r="F43" s="12">
        <v>45476</v>
      </c>
      <c r="G43" t="str">
        <f t="shared" si="0"/>
        <v>DURING</v>
      </c>
      <c r="H43" s="46">
        <f ca="1">AVERAGEIF($G$2:$G$245,"Before",'Preprocced Data'!N43)</f>
        <v>0.1454168911011256</v>
      </c>
      <c r="I43" s="46">
        <f ca="1">AVERAGEIF($G$2:$G$245,"During", 'Preprocced Data'!N43)</f>
        <v>0.17896236414767905</v>
      </c>
    </row>
    <row r="44" spans="4:9" x14ac:dyDescent="0.3">
      <c r="D44" s="7" t="s">
        <v>155</v>
      </c>
      <c r="E44" s="8" t="s">
        <v>43</v>
      </c>
      <c r="F44" s="9">
        <v>45456</v>
      </c>
      <c r="G44" t="str">
        <f t="shared" si="0"/>
        <v>BEFORE</v>
      </c>
      <c r="H44" s="46">
        <f ca="1">AVERAGEIF($G$2:$G$245,"Before",'Preprocced Data'!N44)</f>
        <v>0.14710115931861051</v>
      </c>
      <c r="I44" s="46">
        <f ca="1">AVERAGEIF($G$2:$G$245,"During", 'Preprocced Data'!N44)</f>
        <v>0.16328922370713339</v>
      </c>
    </row>
    <row r="45" spans="4:9" x14ac:dyDescent="0.3">
      <c r="D45" s="10" t="s">
        <v>157</v>
      </c>
      <c r="E45" s="11" t="s">
        <v>43</v>
      </c>
      <c r="F45" s="12">
        <v>45660</v>
      </c>
      <c r="G45" t="str">
        <f t="shared" si="0"/>
        <v>BEFORE</v>
      </c>
      <c r="H45" s="46">
        <f ca="1">AVERAGEIF($G$2:$G$245,"Before",'Preprocced Data'!N45)</f>
        <v>0.14826673243702981</v>
      </c>
      <c r="I45" s="46">
        <f ca="1">AVERAGEIF($G$2:$G$245,"During", 'Preprocced Data'!N45)</f>
        <v>0.15572485592787552</v>
      </c>
    </row>
    <row r="46" spans="4:9" x14ac:dyDescent="0.3">
      <c r="D46" s="7" t="s">
        <v>161</v>
      </c>
      <c r="E46" s="8" t="s">
        <v>27</v>
      </c>
      <c r="F46" s="9">
        <v>45729</v>
      </c>
      <c r="G46" t="str">
        <f t="shared" si="0"/>
        <v>BEFORE</v>
      </c>
      <c r="H46" s="46">
        <f ca="1">AVERAGEIF($G$2:$G$245,"Before",'Preprocced Data'!N46)</f>
        <v>0.14253579055864038</v>
      </c>
      <c r="I46" s="46">
        <f ca="1">AVERAGEIF($G$2:$G$245,"During", 'Preprocced Data'!N46)</f>
        <v>0.2098623419797066</v>
      </c>
    </row>
    <row r="47" spans="4:9" x14ac:dyDescent="0.3">
      <c r="D47" s="10" t="s">
        <v>163</v>
      </c>
      <c r="E47" s="11" t="s">
        <v>43</v>
      </c>
      <c r="F47" s="12">
        <v>45460</v>
      </c>
      <c r="G47" t="str">
        <f t="shared" si="0"/>
        <v>DURING</v>
      </c>
      <c r="H47" s="46">
        <f ca="1">AVERAGEIF($G$2:$G$245,"Before",'Preprocced Data'!N47)</f>
        <v>0.14745536643094129</v>
      </c>
      <c r="I47" s="46">
        <f ca="1">AVERAGEIF($G$2:$G$245,"During", 'Preprocced Data'!N47)</f>
        <v>0.16206808652588783</v>
      </c>
    </row>
    <row r="48" spans="4:9" x14ac:dyDescent="0.3">
      <c r="D48" s="7" t="s">
        <v>165</v>
      </c>
      <c r="E48" s="8" t="s">
        <v>43</v>
      </c>
      <c r="F48" s="9">
        <v>45644</v>
      </c>
      <c r="G48" t="str">
        <f t="shared" si="0"/>
        <v>BEFORE</v>
      </c>
      <c r="H48" s="46">
        <f ca="1">AVERAGEIF($G$2:$G$245,"Before",'Preprocced Data'!N48)</f>
        <v>0.15322089210231624</v>
      </c>
      <c r="I48" s="46">
        <f ca="1">AVERAGEIF($G$2:$G$245,"During", 'Preprocced Data'!N48)</f>
        <v>0.11067484972206482</v>
      </c>
    </row>
    <row r="49" spans="4:9" x14ac:dyDescent="0.3">
      <c r="D49" s="10" t="s">
        <v>167</v>
      </c>
      <c r="E49" s="11" t="s">
        <v>14</v>
      </c>
      <c r="F49" s="12">
        <v>45586</v>
      </c>
      <c r="G49" t="str">
        <f t="shared" si="0"/>
        <v>BEFORE</v>
      </c>
      <c r="H49" s="46">
        <f ca="1">AVERAGEIF($G$2:$G$245,"Before",'Preprocced Data'!N49)</f>
        <v>0.14541778739981934</v>
      </c>
      <c r="I49" s="46">
        <f ca="1">AVERAGEIF($G$2:$G$245,"During", 'Preprocced Data'!N49)</f>
        <v>0.18503335933128254</v>
      </c>
    </row>
    <row r="50" spans="4:9" x14ac:dyDescent="0.3">
      <c r="D50" s="7" t="s">
        <v>169</v>
      </c>
      <c r="E50" s="8" t="s">
        <v>33</v>
      </c>
      <c r="F50" s="9">
        <v>45762</v>
      </c>
      <c r="G50" t="str">
        <f t="shared" si="0"/>
        <v>BEFORE</v>
      </c>
      <c r="H50" s="46">
        <f ca="1">AVERAGEIF($G$2:$G$245,"Before",'Preprocced Data'!N50)</f>
        <v>0.15243682074392692</v>
      </c>
      <c r="I50" s="46">
        <f ca="1">AVERAGEIF($G$2:$G$245,"During", 'Preprocced Data'!N50)</f>
        <v>0.12304315162782849</v>
      </c>
    </row>
    <row r="51" spans="4:9" x14ac:dyDescent="0.3">
      <c r="D51" s="10" t="s">
        <v>173</v>
      </c>
      <c r="E51" s="11" t="s">
        <v>33</v>
      </c>
      <c r="F51" s="12">
        <v>45685</v>
      </c>
      <c r="G51" t="str">
        <f t="shared" si="0"/>
        <v>BEFORE</v>
      </c>
      <c r="H51" s="46">
        <f ca="1">AVERAGEIF($G$2:$G$245,"Before",'Preprocced Data'!N51)</f>
        <v>0.15050870852721429</v>
      </c>
      <c r="I51" s="46">
        <f ca="1">AVERAGEIF($G$2:$G$245,"During", 'Preprocced Data'!N51)</f>
        <v>0.100726462545064</v>
      </c>
    </row>
    <row r="52" spans="4:9" x14ac:dyDescent="0.3">
      <c r="D52" s="7" t="s">
        <v>176</v>
      </c>
      <c r="E52" s="8" t="s">
        <v>14</v>
      </c>
      <c r="F52" s="9">
        <v>45540</v>
      </c>
      <c r="G52" t="str">
        <f t="shared" si="0"/>
        <v>BEFORE</v>
      </c>
      <c r="H52" s="46">
        <f ca="1">AVERAGEIF($G$2:$G$245,"Before",'Preprocced Data'!N52)</f>
        <v>0.14944889264312558</v>
      </c>
      <c r="I52" s="46">
        <f ca="1">AVERAGEIF($G$2:$G$245,"During", 'Preprocced Data'!N52)</f>
        <v>0.11027968585503672</v>
      </c>
    </row>
    <row r="53" spans="4:9" x14ac:dyDescent="0.3">
      <c r="D53" s="10" t="s">
        <v>178</v>
      </c>
      <c r="E53" s="11" t="s">
        <v>14</v>
      </c>
      <c r="F53" s="12">
        <v>45618</v>
      </c>
      <c r="G53" t="str">
        <f t="shared" si="0"/>
        <v>BEFORE</v>
      </c>
      <c r="H53" s="46">
        <f ca="1">AVERAGEIF($G$2:$G$245,"Before",'Preprocced Data'!N53)</f>
        <v>0.14547957518677798</v>
      </c>
      <c r="I53" s="46">
        <f ca="1">AVERAGEIF($G$2:$G$245,"During", 'Preprocced Data'!N53)</f>
        <v>0.14924153404884238</v>
      </c>
    </row>
    <row r="54" spans="4:9" x14ac:dyDescent="0.3">
      <c r="D54" s="7" t="s">
        <v>180</v>
      </c>
      <c r="E54" s="8" t="s">
        <v>14</v>
      </c>
      <c r="F54" s="9">
        <v>45504</v>
      </c>
      <c r="G54" t="str">
        <f t="shared" si="0"/>
        <v>BEFORE</v>
      </c>
      <c r="H54" s="46">
        <f ca="1">AVERAGEIF($G$2:$G$245,"Before",'Preprocced Data'!N54)</f>
        <v>0.14560429561234994</v>
      </c>
      <c r="I54" s="46">
        <f ca="1">AVERAGEIF($G$2:$G$245,"During", 'Preprocced Data'!N54)</f>
        <v>0.12624388805332243</v>
      </c>
    </row>
    <row r="55" spans="4:9" x14ac:dyDescent="0.3">
      <c r="D55" s="10" t="s">
        <v>181</v>
      </c>
      <c r="E55" s="11" t="s">
        <v>43</v>
      </c>
      <c r="F55" s="12">
        <v>45521</v>
      </c>
      <c r="G55" t="str">
        <f t="shared" si="0"/>
        <v>BEFORE</v>
      </c>
      <c r="H55" s="46">
        <f ca="1">AVERAGEIF($G$2:$G$245,"Before",'Preprocced Data'!N55)</f>
        <v>0.14280635229689437</v>
      </c>
      <c r="I55" s="46">
        <f ca="1">AVERAGEIF($G$2:$G$245,"During", 'Preprocced Data'!N55)</f>
        <v>0.15830482709582491</v>
      </c>
    </row>
    <row r="56" spans="4:9" x14ac:dyDescent="0.3">
      <c r="D56" s="7" t="s">
        <v>185</v>
      </c>
      <c r="E56" s="8" t="s">
        <v>14</v>
      </c>
      <c r="F56" s="9">
        <v>45499</v>
      </c>
      <c r="G56" t="str">
        <f t="shared" si="0"/>
        <v>BEFORE</v>
      </c>
      <c r="H56" s="46">
        <f ca="1">AVERAGEIF($G$2:$G$245,"Before",'Preprocced Data'!N56)</f>
        <v>0.14396320581426017</v>
      </c>
      <c r="I56" s="46">
        <f ca="1">AVERAGEIF($G$2:$G$245,"During", 'Preprocced Data'!N56)</f>
        <v>0.15062592870621783</v>
      </c>
    </row>
    <row r="57" spans="4:9" x14ac:dyDescent="0.3">
      <c r="D57" s="10" t="s">
        <v>187</v>
      </c>
      <c r="E57" s="11" t="s">
        <v>43</v>
      </c>
      <c r="F57" s="12">
        <v>45745</v>
      </c>
      <c r="G57" t="str">
        <f t="shared" si="0"/>
        <v>BEFORE</v>
      </c>
      <c r="H57" s="46">
        <f ca="1">AVERAGEIF($G$2:$G$245,"Before",'Preprocced Data'!N57)</f>
        <v>0.14469828056388842</v>
      </c>
      <c r="I57" s="46">
        <f ca="1">AVERAGEIF($G$2:$G$245,"During", 'Preprocced Data'!N57)</f>
        <v>0.13541859921346616</v>
      </c>
    </row>
    <row r="58" spans="4:9" x14ac:dyDescent="0.3">
      <c r="D58" s="7" t="s">
        <v>191</v>
      </c>
      <c r="E58" s="8" t="s">
        <v>14</v>
      </c>
      <c r="F58" s="9">
        <v>45724</v>
      </c>
      <c r="G58" t="str">
        <f t="shared" si="0"/>
        <v>BEFORE</v>
      </c>
      <c r="H58" s="46">
        <f ca="1">AVERAGEIF($G$2:$G$245,"Before",'Preprocced Data'!N58)</f>
        <v>0.14677095281691702</v>
      </c>
      <c r="I58" s="46">
        <f ca="1">AVERAGEIF($G$2:$G$245,"During", 'Preprocced Data'!N58)</f>
        <v>0.12034050106644351</v>
      </c>
    </row>
    <row r="59" spans="4:9" x14ac:dyDescent="0.3">
      <c r="D59" s="10" t="s">
        <v>194</v>
      </c>
      <c r="E59" s="11" t="s">
        <v>27</v>
      </c>
      <c r="F59" s="12">
        <v>45537</v>
      </c>
      <c r="G59" t="str">
        <f t="shared" si="0"/>
        <v>BEFORE</v>
      </c>
      <c r="H59" s="46">
        <f ca="1">AVERAGEIF($G$2:$G$245,"Before",'Preprocced Data'!N59)</f>
        <v>0.14636864535683505</v>
      </c>
      <c r="I59" s="46">
        <f ca="1">AVERAGEIF($G$2:$G$245,"During", 'Preprocced Data'!N59)</f>
        <v>0.12708160445195368</v>
      </c>
    </row>
    <row r="60" spans="4:9" x14ac:dyDescent="0.3">
      <c r="D60" s="7" t="s">
        <v>196</v>
      </c>
      <c r="E60" s="8" t="s">
        <v>27</v>
      </c>
      <c r="F60" s="9">
        <v>45719</v>
      </c>
      <c r="G60" t="str">
        <f t="shared" si="0"/>
        <v>BEFORE</v>
      </c>
      <c r="H60" s="46">
        <f ca="1">AVERAGEIF($G$2:$G$245,"Before",'Preprocced Data'!N60)</f>
        <v>0.14694870462105081</v>
      </c>
      <c r="I60" s="46">
        <f ca="1">AVERAGEIF($G$2:$G$245,"During", 'Preprocced Data'!N60)</f>
        <v>0.12313707091156051</v>
      </c>
    </row>
    <row r="61" spans="4:9" x14ac:dyDescent="0.3">
      <c r="D61" s="10" t="s">
        <v>198</v>
      </c>
      <c r="E61" s="11" t="s">
        <v>43</v>
      </c>
      <c r="F61" s="12">
        <v>45583</v>
      </c>
      <c r="G61" t="str">
        <f t="shared" si="0"/>
        <v>BEFORE</v>
      </c>
      <c r="H61" s="46">
        <f ca="1">AVERAGEIF($G$2:$G$245,"Before",'Preprocced Data'!N61)</f>
        <v>0.14756075001922569</v>
      </c>
      <c r="I61" s="46">
        <f ca="1">AVERAGEIF($G$2:$G$245,"During", 'Preprocced Data'!N61)</f>
        <v>0.11913366961834454</v>
      </c>
    </row>
    <row r="62" spans="4:9" x14ac:dyDescent="0.3">
      <c r="D62" s="7" t="s">
        <v>200</v>
      </c>
      <c r="E62" s="8" t="s">
        <v>27</v>
      </c>
      <c r="F62" s="9">
        <v>45593</v>
      </c>
      <c r="G62" t="str">
        <f t="shared" si="0"/>
        <v>BEFORE</v>
      </c>
      <c r="H62" s="46">
        <f ca="1">AVERAGEIF($G$2:$G$245,"Before",'Preprocced Data'!N62)</f>
        <v>0.14464613358099682</v>
      </c>
      <c r="I62" s="46">
        <f ca="1">AVERAGEIF($G$2:$G$245,"During", 'Preprocced Data'!N62)</f>
        <v>0.15316642642522002</v>
      </c>
    </row>
    <row r="63" spans="4:9" x14ac:dyDescent="0.3">
      <c r="D63" s="10" t="s">
        <v>202</v>
      </c>
      <c r="E63" s="11" t="s">
        <v>33</v>
      </c>
      <c r="F63" s="12">
        <v>45505</v>
      </c>
      <c r="G63" t="str">
        <f t="shared" si="0"/>
        <v>BEFORE</v>
      </c>
      <c r="H63" s="46">
        <f ca="1">AVERAGEIF($G$2:$G$245,"Before",'Preprocced Data'!N63)</f>
        <v>0.14330175697021805</v>
      </c>
      <c r="I63" s="46">
        <f ca="1">AVERAGEIF($G$2:$G$245,"During", 'Preprocced Data'!N63)</f>
        <v>0.16789417640824519</v>
      </c>
    </row>
    <row r="64" spans="4:9" x14ac:dyDescent="0.3">
      <c r="D64" s="7" t="s">
        <v>204</v>
      </c>
      <c r="E64" s="8" t="s">
        <v>14</v>
      </c>
      <c r="F64" s="9">
        <v>45603</v>
      </c>
      <c r="G64" t="str">
        <f t="shared" si="0"/>
        <v>BEFORE</v>
      </c>
      <c r="H64" s="46">
        <f ca="1">AVERAGEIF($G$2:$G$245,"Before",'Preprocced Data'!N64)</f>
        <v>0.14871281036153577</v>
      </c>
      <c r="I64" s="46">
        <f ca="1">AVERAGEIF($G$2:$G$245,"During", 'Preprocced Data'!N64)</f>
        <v>0.11312883357290626</v>
      </c>
    </row>
    <row r="65" spans="4:9" x14ac:dyDescent="0.3">
      <c r="D65" s="10" t="s">
        <v>207</v>
      </c>
      <c r="E65" s="11" t="s">
        <v>14</v>
      </c>
      <c r="F65" s="12">
        <v>45460</v>
      </c>
      <c r="G65" t="str">
        <f t="shared" si="0"/>
        <v>DURING</v>
      </c>
      <c r="H65" s="46">
        <f ca="1">AVERAGEIF($G$2:$G$245,"Before",'Preprocced Data'!N65)</f>
        <v>0.14551010803226322</v>
      </c>
      <c r="I65" s="46">
        <f ca="1">AVERAGEIF($G$2:$G$245,"During", 'Preprocced Data'!N65)</f>
        <v>0.15037765698666539</v>
      </c>
    </row>
    <row r="66" spans="4:9" x14ac:dyDescent="0.3">
      <c r="D66" s="7" t="s">
        <v>208</v>
      </c>
      <c r="E66" s="8" t="s">
        <v>33</v>
      </c>
      <c r="F66" s="9">
        <v>45574</v>
      </c>
      <c r="G66" t="str">
        <f t="shared" si="0"/>
        <v>BEFORE</v>
      </c>
      <c r="H66" s="46">
        <f ca="1">AVERAGEIF($G$2:$G$245,"Before",'Preprocced Data'!N66)</f>
        <v>0.14009495326585858</v>
      </c>
      <c r="I66" s="46">
        <f ca="1">AVERAGEIF($G$2:$G$245,"During", 'Preprocced Data'!N66)</f>
        <v>0.20984765811319739</v>
      </c>
    </row>
    <row r="67" spans="4:9" x14ac:dyDescent="0.3">
      <c r="D67" s="10" t="s">
        <v>211</v>
      </c>
      <c r="E67" s="11" t="s">
        <v>33</v>
      </c>
      <c r="F67" s="12">
        <v>45584</v>
      </c>
      <c r="G67" t="str">
        <f t="shared" ref="G67:G130" si="1">IF(AND(F67&gt;=$B$2,F67&lt;=$C$2),"DURING","BEFORE")</f>
        <v>BEFORE</v>
      </c>
      <c r="H67" s="46">
        <f ca="1">AVERAGEIF($G$2:$G$245,"Before",'Preprocced Data'!N67)</f>
        <v>0.14903383618539137</v>
      </c>
      <c r="I67" s="46">
        <f ca="1">AVERAGEIF($G$2:$G$245,"During", 'Preprocced Data'!N67)</f>
        <v>0.1220007879380396</v>
      </c>
    </row>
    <row r="68" spans="4:9" x14ac:dyDescent="0.3">
      <c r="D68" s="7" t="s">
        <v>213</v>
      </c>
      <c r="E68" s="8" t="s">
        <v>33</v>
      </c>
      <c r="F68" s="9">
        <v>45497</v>
      </c>
      <c r="G68" t="str">
        <f t="shared" si="1"/>
        <v>BEFORE</v>
      </c>
      <c r="H68" s="46">
        <f ca="1">AVERAGEIF($G$2:$G$245,"Before",'Preprocced Data'!N68)</f>
        <v>0.15065499706854366</v>
      </c>
      <c r="I68" s="46">
        <f ca="1">AVERAGEIF($G$2:$G$245,"During", 'Preprocced Data'!N68)</f>
        <v>0.10900031776051342</v>
      </c>
    </row>
    <row r="69" spans="4:9" x14ac:dyDescent="0.3">
      <c r="D69" s="10" t="s">
        <v>220</v>
      </c>
      <c r="E69" s="11" t="s">
        <v>43</v>
      </c>
      <c r="F69" s="12">
        <v>45635</v>
      </c>
      <c r="G69" t="str">
        <f t="shared" si="1"/>
        <v>BEFORE</v>
      </c>
      <c r="H69" s="46">
        <f ca="1">AVERAGEIF($G$2:$G$245,"Before",'Preprocced Data'!N69)</f>
        <v>0.14771209434535129</v>
      </c>
      <c r="I69" s="46">
        <f ca="1">AVERAGEIF($G$2:$G$245,"During", 'Preprocced Data'!N69)</f>
        <v>0.14268007579838574</v>
      </c>
    </row>
    <row r="70" spans="4:9" x14ac:dyDescent="0.3">
      <c r="D70" s="7" t="s">
        <v>222</v>
      </c>
      <c r="E70" s="8" t="s">
        <v>33</v>
      </c>
      <c r="F70" s="9">
        <v>45766</v>
      </c>
      <c r="G70" t="str">
        <f t="shared" si="1"/>
        <v>BEFORE</v>
      </c>
      <c r="H70" s="46">
        <f ca="1">AVERAGEIF($G$2:$G$245,"Before",'Preprocced Data'!N70)</f>
        <v>0.13974670804</v>
      </c>
      <c r="I70" s="46">
        <f ca="1">AVERAGEIF($G$2:$G$245,"During", 'Preprocced Data'!N70)</f>
        <v>0.22614483493974066</v>
      </c>
    </row>
    <row r="71" spans="4:9" x14ac:dyDescent="0.3">
      <c r="D71" s="10" t="s">
        <v>223</v>
      </c>
      <c r="E71" s="11" t="s">
        <v>27</v>
      </c>
      <c r="F71" s="12">
        <v>45684</v>
      </c>
      <c r="G71" t="str">
        <f t="shared" si="1"/>
        <v>BEFORE</v>
      </c>
      <c r="H71" s="46">
        <f ca="1">AVERAGEIF($G$2:$G$245,"Before",'Preprocced Data'!N71)</f>
        <v>0.14342589177611298</v>
      </c>
      <c r="I71" s="46">
        <f ca="1">AVERAGEIF($G$2:$G$245,"During", 'Preprocced Data'!N71)</f>
        <v>0.18634430837706284</v>
      </c>
    </row>
    <row r="72" spans="4:9" x14ac:dyDescent="0.3">
      <c r="D72" s="7" t="s">
        <v>225</v>
      </c>
      <c r="E72" s="8" t="s">
        <v>14</v>
      </c>
      <c r="F72" s="9">
        <v>45449</v>
      </c>
      <c r="G72" t="str">
        <f t="shared" si="1"/>
        <v>BEFORE</v>
      </c>
      <c r="H72" s="46">
        <f ca="1">AVERAGEIF($G$2:$G$245,"Before",'Preprocced Data'!N72)</f>
        <v>0.14429651315685438</v>
      </c>
      <c r="I72" s="46">
        <f ca="1">AVERAGEIF($G$2:$G$245,"During", 'Preprocced Data'!N72)</f>
        <v>0.18261630164922824</v>
      </c>
    </row>
    <row r="73" spans="4:9" x14ac:dyDescent="0.3">
      <c r="D73" s="10" t="s">
        <v>227</v>
      </c>
      <c r="E73" s="11" t="s">
        <v>43</v>
      </c>
      <c r="F73" s="12">
        <v>45480</v>
      </c>
      <c r="G73" t="str">
        <f t="shared" si="1"/>
        <v>DURING</v>
      </c>
      <c r="H73" s="46">
        <f ca="1">AVERAGEIF($G$2:$G$245,"Before",'Preprocced Data'!N73)</f>
        <v>0.15040474717208419</v>
      </c>
      <c r="I73" s="46">
        <f ca="1">AVERAGEIF($G$2:$G$245,"During", 'Preprocced Data'!N73)</f>
        <v>0.11865519227531575</v>
      </c>
    </row>
    <row r="74" spans="4:9" x14ac:dyDescent="0.3">
      <c r="D74" s="7" t="s">
        <v>231</v>
      </c>
      <c r="E74" s="8" t="s">
        <v>33</v>
      </c>
      <c r="F74" s="9">
        <v>45446</v>
      </c>
      <c r="G74" t="str">
        <f t="shared" si="1"/>
        <v>BEFORE</v>
      </c>
      <c r="H74" s="46">
        <f ca="1">AVERAGEIF($G$2:$G$245,"Before",'Preprocced Data'!N74)</f>
        <v>0.1504121048266048</v>
      </c>
      <c r="I74" s="46">
        <f ca="1">AVERAGEIF($G$2:$G$245,"During", 'Preprocced Data'!N74)</f>
        <v>0.11949865250424631</v>
      </c>
    </row>
    <row r="75" spans="4:9" x14ac:dyDescent="0.3">
      <c r="D75" s="10" t="s">
        <v>233</v>
      </c>
      <c r="E75" s="11" t="s">
        <v>43</v>
      </c>
      <c r="F75" s="12">
        <v>45740</v>
      </c>
      <c r="G75" t="str">
        <f t="shared" si="1"/>
        <v>BEFORE</v>
      </c>
      <c r="H75" s="46">
        <f ca="1">AVERAGEIF($G$2:$G$245,"Before",'Preprocced Data'!N75)</f>
        <v>0.14500205191730892</v>
      </c>
      <c r="I75" s="46">
        <f ca="1">AVERAGEIF($G$2:$G$245,"During", 'Preprocced Data'!N75)</f>
        <v>0.17688291024388259</v>
      </c>
    </row>
    <row r="76" spans="4:9" x14ac:dyDescent="0.3">
      <c r="D76" s="7" t="s">
        <v>235</v>
      </c>
      <c r="E76" s="8" t="s">
        <v>14</v>
      </c>
      <c r="F76" s="9">
        <v>45586</v>
      </c>
      <c r="G76" t="str">
        <f t="shared" si="1"/>
        <v>BEFORE</v>
      </c>
      <c r="H76" s="46">
        <f ca="1">AVERAGEIF($G$2:$G$245,"Before",'Preprocced Data'!N76)</f>
        <v>0.1530320719639845</v>
      </c>
      <c r="I76" s="46">
        <f ca="1">AVERAGEIF($G$2:$G$245,"During", 'Preprocced Data'!N76)</f>
        <v>0.10037492614256729</v>
      </c>
    </row>
    <row r="77" spans="4:9" x14ac:dyDescent="0.3">
      <c r="D77" s="10" t="s">
        <v>236</v>
      </c>
      <c r="E77" s="11" t="s">
        <v>33</v>
      </c>
      <c r="F77" s="12">
        <v>45637</v>
      </c>
      <c r="G77" t="str">
        <f t="shared" si="1"/>
        <v>BEFORE</v>
      </c>
      <c r="H77" s="46">
        <f ca="1">AVERAGEIF($G$2:$G$245,"Before",'Preprocced Data'!N77)</f>
        <v>0.1459113771999373</v>
      </c>
      <c r="I77" s="46">
        <f ca="1">AVERAGEIF($G$2:$G$245,"During", 'Preprocced Data'!N77)</f>
        <v>0.17461682859716979</v>
      </c>
    </row>
    <row r="78" spans="4:9" x14ac:dyDescent="0.3">
      <c r="D78" s="7" t="s">
        <v>238</v>
      </c>
      <c r="E78" s="8" t="s">
        <v>33</v>
      </c>
      <c r="F78" s="9">
        <v>45603</v>
      </c>
      <c r="G78" t="str">
        <f t="shared" si="1"/>
        <v>BEFORE</v>
      </c>
      <c r="H78" s="46">
        <f ca="1">AVERAGEIF($G$2:$G$245,"Before",'Preprocced Data'!N78)</f>
        <v>0.14970757398332105</v>
      </c>
      <c r="I78" s="46">
        <f ca="1">AVERAGEIF($G$2:$G$245,"During", 'Preprocced Data'!N78)</f>
        <v>0.12529868336645228</v>
      </c>
    </row>
    <row r="79" spans="4:9" x14ac:dyDescent="0.3">
      <c r="D79" s="10" t="s">
        <v>239</v>
      </c>
      <c r="E79" s="11" t="s">
        <v>33</v>
      </c>
      <c r="F79" s="12">
        <v>45604</v>
      </c>
      <c r="G79" t="str">
        <f t="shared" si="1"/>
        <v>BEFORE</v>
      </c>
      <c r="H79" s="46">
        <f ca="1">AVERAGEIF($G$2:$G$245,"Before",'Preprocced Data'!N79)</f>
        <v>0.14914772731341275</v>
      </c>
      <c r="I79" s="46">
        <f ca="1">AVERAGEIF($G$2:$G$245,"During", 'Preprocced Data'!N79)</f>
        <v>0.13007907270666347</v>
      </c>
    </row>
    <row r="80" spans="4:9" x14ac:dyDescent="0.3">
      <c r="D80" s="7" t="s">
        <v>243</v>
      </c>
      <c r="E80" s="8" t="s">
        <v>33</v>
      </c>
      <c r="F80" s="9">
        <v>45517</v>
      </c>
      <c r="G80" t="str">
        <f t="shared" si="1"/>
        <v>BEFORE</v>
      </c>
      <c r="H80" s="46">
        <f ca="1">AVERAGEIF($G$2:$G$245,"Before",'Preprocced Data'!N80)</f>
        <v>0.14021414688928535</v>
      </c>
      <c r="I80" s="46">
        <f ca="1">AVERAGEIF($G$2:$G$245,"During", 'Preprocced Data'!N80)</f>
        <v>0.23286072594236842</v>
      </c>
    </row>
    <row r="81" spans="4:9" x14ac:dyDescent="0.3">
      <c r="D81" s="10" t="s">
        <v>245</v>
      </c>
      <c r="E81" s="11" t="s">
        <v>14</v>
      </c>
      <c r="F81" s="12">
        <v>45453</v>
      </c>
      <c r="G81" t="str">
        <f t="shared" si="1"/>
        <v>BEFORE</v>
      </c>
      <c r="H81" s="46">
        <f ca="1">AVERAGEIF($G$2:$G$245,"Before",'Preprocced Data'!N81)</f>
        <v>0.15146758316164663</v>
      </c>
      <c r="I81" s="46">
        <f ca="1">AVERAGEIF($G$2:$G$245,"During", 'Preprocced Data'!N81)</f>
        <v>0.11523763027637646</v>
      </c>
    </row>
    <row r="82" spans="4:9" x14ac:dyDescent="0.3">
      <c r="D82" s="7" t="s">
        <v>246</v>
      </c>
      <c r="E82" s="8" t="s">
        <v>27</v>
      </c>
      <c r="F82" s="9">
        <v>45475</v>
      </c>
      <c r="G82" t="str">
        <f t="shared" si="1"/>
        <v>DURING</v>
      </c>
      <c r="H82" s="46">
        <f ca="1">AVERAGEIF($G$2:$G$245,"Before",'Preprocced Data'!N82)</f>
        <v>0.14887053305020012</v>
      </c>
      <c r="I82" s="46">
        <f ca="1">AVERAGEIF($G$2:$G$245,"During", 'Preprocced Data'!N82)</f>
        <v>0.14585506938335255</v>
      </c>
    </row>
    <row r="83" spans="4:9" x14ac:dyDescent="0.3">
      <c r="D83" s="10" t="s">
        <v>250</v>
      </c>
      <c r="E83" s="11" t="s">
        <v>27</v>
      </c>
      <c r="F83" s="12">
        <v>45583</v>
      </c>
      <c r="G83" t="str">
        <f t="shared" si="1"/>
        <v>BEFORE</v>
      </c>
      <c r="H83" s="46">
        <f ca="1">AVERAGEIF($G$2:$G$245,"Before",'Preprocced Data'!N83)</f>
        <v>0.14753185777556321</v>
      </c>
      <c r="I83" s="46">
        <f ca="1">AVERAGEIF($G$2:$G$245,"During", 'Preprocced Data'!N83)</f>
        <v>0.16559314289019317</v>
      </c>
    </row>
    <row r="84" spans="4:9" x14ac:dyDescent="0.3">
      <c r="D84" s="7" t="s">
        <v>251</v>
      </c>
      <c r="E84" s="8" t="s">
        <v>14</v>
      </c>
      <c r="F84" s="9">
        <v>45553</v>
      </c>
      <c r="G84" t="str">
        <f t="shared" si="1"/>
        <v>BEFORE</v>
      </c>
      <c r="H84" s="46">
        <f ca="1">AVERAGEIF($G$2:$G$245,"Before",'Preprocced Data'!N84)</f>
        <v>0.15223126862727332</v>
      </c>
      <c r="I84" s="46">
        <f ca="1">AVERAGEIF($G$2:$G$245,"During", 'Preprocced Data'!N84)</f>
        <v>0.12118679907261665</v>
      </c>
    </row>
    <row r="85" spans="4:9" x14ac:dyDescent="0.3">
      <c r="D85" s="10" t="s">
        <v>253</v>
      </c>
      <c r="E85" s="11" t="s">
        <v>43</v>
      </c>
      <c r="F85" s="12">
        <v>45454</v>
      </c>
      <c r="G85" t="str">
        <f t="shared" si="1"/>
        <v>BEFORE</v>
      </c>
      <c r="H85" s="46">
        <f ca="1">AVERAGEIF($G$2:$G$245,"Before",'Preprocced Data'!N85)</f>
        <v>0.14859289774913748</v>
      </c>
      <c r="I85" s="46">
        <f ca="1">AVERAGEIF($G$2:$G$245,"During", 'Preprocced Data'!N85)</f>
        <v>0.1447871648616576</v>
      </c>
    </row>
    <row r="86" spans="4:9" x14ac:dyDescent="0.3">
      <c r="D86" s="7" t="s">
        <v>255</v>
      </c>
      <c r="E86" s="8" t="s">
        <v>27</v>
      </c>
      <c r="F86" s="9">
        <v>45739</v>
      </c>
      <c r="G86" t="str">
        <f t="shared" si="1"/>
        <v>BEFORE</v>
      </c>
      <c r="H86" s="46">
        <f ca="1">AVERAGEIF($G$2:$G$245,"Before",'Preprocced Data'!N86)</f>
        <v>0.15169366153868655</v>
      </c>
      <c r="I86" s="46">
        <f ca="1">AVERAGEIF($G$2:$G$245,"During", 'Preprocced Data'!N86)</f>
        <v>0.11594777696681047</v>
      </c>
    </row>
    <row r="87" spans="4:9" x14ac:dyDescent="0.3">
      <c r="D87" s="10" t="s">
        <v>257</v>
      </c>
      <c r="E87" s="11" t="s">
        <v>33</v>
      </c>
      <c r="F87" s="12">
        <v>45457</v>
      </c>
      <c r="G87" t="str">
        <f t="shared" si="1"/>
        <v>BEFORE</v>
      </c>
      <c r="H87" s="46">
        <f ca="1">AVERAGEIF($G$2:$G$245,"Before",'Preprocced Data'!N87)</f>
        <v>0.1505914020969015</v>
      </c>
      <c r="I87" s="46">
        <f ca="1">AVERAGEIF($G$2:$G$245,"During", 'Preprocced Data'!N87)</f>
        <v>0.12840840390806377</v>
      </c>
    </row>
    <row r="88" spans="4:9" x14ac:dyDescent="0.3">
      <c r="D88" s="7" t="s">
        <v>259</v>
      </c>
      <c r="E88" s="8" t="s">
        <v>33</v>
      </c>
      <c r="F88" s="9">
        <v>45692</v>
      </c>
      <c r="G88" t="str">
        <f t="shared" si="1"/>
        <v>BEFORE</v>
      </c>
      <c r="H88" s="46">
        <f ca="1">AVERAGEIF($G$2:$G$245,"Before",'Preprocced Data'!N88)</f>
        <v>0.15024993352845628</v>
      </c>
      <c r="I88" s="46">
        <f ca="1">AVERAGEIF($G$2:$G$245,"During", 'Preprocced Data'!N88)</f>
        <v>0.13346573179136459</v>
      </c>
    </row>
    <row r="89" spans="4:9" x14ac:dyDescent="0.3">
      <c r="D89" s="10" t="s">
        <v>263</v>
      </c>
      <c r="E89" s="11" t="s">
        <v>14</v>
      </c>
      <c r="F89" s="12">
        <v>45741</v>
      </c>
      <c r="G89" t="str">
        <f t="shared" si="1"/>
        <v>BEFORE</v>
      </c>
      <c r="H89" s="46">
        <f ca="1">AVERAGEIF($G$2:$G$245,"Before",'Preprocced Data'!N89)</f>
        <v>0.15126810748076785</v>
      </c>
      <c r="I89" s="46">
        <f ca="1">AVERAGEIF($G$2:$G$245,"During", 'Preprocced Data'!N89)</f>
        <v>0.12767520671134786</v>
      </c>
    </row>
    <row r="90" spans="4:9" x14ac:dyDescent="0.3">
      <c r="D90" s="7" t="s">
        <v>265</v>
      </c>
      <c r="E90" s="8" t="s">
        <v>14</v>
      </c>
      <c r="F90" s="9">
        <v>45512</v>
      </c>
      <c r="G90" t="str">
        <f t="shared" si="1"/>
        <v>BEFORE</v>
      </c>
      <c r="H90" s="46">
        <f ca="1">AVERAGEIF($G$2:$G$245,"Before",'Preprocced Data'!N90)</f>
        <v>0.15034204744062524</v>
      </c>
      <c r="I90" s="46">
        <f ca="1">AVERAGEIF($G$2:$G$245,"During", 'Preprocced Data'!N90)</f>
        <v>0.14072603907735071</v>
      </c>
    </row>
    <row r="91" spans="4:9" x14ac:dyDescent="0.3">
      <c r="D91" s="10" t="s">
        <v>267</v>
      </c>
      <c r="E91" s="11" t="s">
        <v>33</v>
      </c>
      <c r="F91" s="12">
        <v>45502</v>
      </c>
      <c r="G91" t="str">
        <f t="shared" si="1"/>
        <v>BEFORE</v>
      </c>
      <c r="H91" s="46">
        <f ca="1">AVERAGEIF($G$2:$G$245,"Before",'Preprocced Data'!N91)</f>
        <v>0.15037868987409866</v>
      </c>
      <c r="I91" s="46">
        <f ca="1">AVERAGEIF($G$2:$G$245,"During", 'Preprocced Data'!N91)</f>
        <v>0.13913549116416271</v>
      </c>
    </row>
    <row r="92" spans="4:9" x14ac:dyDescent="0.3">
      <c r="D92" s="7" t="s">
        <v>269</v>
      </c>
      <c r="E92" s="8" t="s">
        <v>27</v>
      </c>
      <c r="F92" s="9">
        <v>45619</v>
      </c>
      <c r="G92" t="str">
        <f t="shared" si="1"/>
        <v>BEFORE</v>
      </c>
      <c r="H92" s="46">
        <f ca="1">AVERAGEIF($G$2:$G$245,"Before",'Preprocced Data'!N92)</f>
        <v>0.15149466399907938</v>
      </c>
      <c r="I92" s="46">
        <f ca="1">AVERAGEIF($G$2:$G$245,"During", 'Preprocced Data'!N92)</f>
        <v>0.12994725694734313</v>
      </c>
    </row>
    <row r="93" spans="4:9" x14ac:dyDescent="0.3">
      <c r="D93" s="10" t="s">
        <v>271</v>
      </c>
      <c r="E93" s="11" t="s">
        <v>14</v>
      </c>
      <c r="F93" s="12">
        <v>45570</v>
      </c>
      <c r="G93" t="str">
        <f t="shared" si="1"/>
        <v>BEFORE</v>
      </c>
      <c r="H93" s="46">
        <f ca="1">AVERAGEIF($G$2:$G$245,"Before",'Preprocced Data'!N93)</f>
        <v>0.15327727009044442</v>
      </c>
      <c r="I93" s="46">
        <f ca="1">AVERAGEIF($G$2:$G$245,"During", 'Preprocced Data'!N93)</f>
        <v>0.1177787617715144</v>
      </c>
    </row>
    <row r="94" spans="4:9" x14ac:dyDescent="0.3">
      <c r="D94" s="7" t="s">
        <v>273</v>
      </c>
      <c r="E94" s="8" t="s">
        <v>14</v>
      </c>
      <c r="F94" s="9">
        <v>45567</v>
      </c>
      <c r="G94" t="str">
        <f t="shared" si="1"/>
        <v>BEFORE</v>
      </c>
      <c r="H94" s="46">
        <f ca="1">AVERAGEIF($G$2:$G$245,"Before",'Preprocced Data'!N94)</f>
        <v>0.1476556235800493</v>
      </c>
      <c r="I94" s="46">
        <f ca="1">AVERAGEIF($G$2:$G$245,"During", 'Preprocced Data'!N94)</f>
        <v>0.17168218066011981</v>
      </c>
    </row>
    <row r="95" spans="4:9" x14ac:dyDescent="0.3">
      <c r="D95" s="10" t="s">
        <v>275</v>
      </c>
      <c r="E95" s="11" t="s">
        <v>14</v>
      </c>
      <c r="F95" s="12">
        <v>45610</v>
      </c>
      <c r="G95" t="str">
        <f t="shared" si="1"/>
        <v>BEFORE</v>
      </c>
      <c r="H95" s="46">
        <f ca="1">AVERAGEIF($G$2:$G$245,"Before",'Preprocced Data'!N95)</f>
        <v>0.1492190557513271</v>
      </c>
      <c r="I95" s="46">
        <f ca="1">AVERAGEIF($G$2:$G$245,"During", 'Preprocced Data'!N95)</f>
        <v>0.1588089332190725</v>
      </c>
    </row>
    <row r="96" spans="4:9" x14ac:dyDescent="0.3">
      <c r="D96" s="7" t="s">
        <v>277</v>
      </c>
      <c r="E96" s="8" t="s">
        <v>14</v>
      </c>
      <c r="F96" s="9">
        <v>45788</v>
      </c>
      <c r="G96" t="str">
        <f t="shared" si="1"/>
        <v>BEFORE</v>
      </c>
      <c r="H96" s="46">
        <f ca="1">AVERAGEIF($G$2:$G$245,"Before",'Preprocced Data'!N96)</f>
        <v>0.15212644440092318</v>
      </c>
      <c r="I96" s="46">
        <f ca="1">AVERAGEIF($G$2:$G$245,"During", 'Preprocced Data'!N96)</f>
        <v>0.13197959031951972</v>
      </c>
    </row>
    <row r="97" spans="4:9" x14ac:dyDescent="0.3">
      <c r="D97" s="10" t="s">
        <v>281</v>
      </c>
      <c r="E97" s="11" t="s">
        <v>14</v>
      </c>
      <c r="F97" s="12">
        <v>45600</v>
      </c>
      <c r="G97" t="str">
        <f t="shared" si="1"/>
        <v>BEFORE</v>
      </c>
      <c r="H97" s="46">
        <f ca="1">AVERAGEIF($G$2:$G$245,"Before",'Preprocced Data'!N97)</f>
        <v>0.1507394575100636</v>
      </c>
      <c r="I97" s="46">
        <f ca="1">AVERAGEIF($G$2:$G$245,"During", 'Preprocced Data'!N97)</f>
        <v>0.15178096051246451</v>
      </c>
    </row>
    <row r="98" spans="4:9" x14ac:dyDescent="0.3">
      <c r="D98" s="7" t="s">
        <v>283</v>
      </c>
      <c r="E98" s="8" t="s">
        <v>43</v>
      </c>
      <c r="F98" s="9">
        <v>45600</v>
      </c>
      <c r="G98" t="str">
        <f t="shared" si="1"/>
        <v>BEFORE</v>
      </c>
      <c r="H98" s="46">
        <f ca="1">AVERAGEIF($G$2:$G$245,"Before",'Preprocced Data'!N98)</f>
        <v>0.14858200441800809</v>
      </c>
      <c r="I98" s="46">
        <f ca="1">AVERAGEIF($G$2:$G$245,"During", 'Preprocced Data'!N98)</f>
        <v>0.17477488902159419</v>
      </c>
    </row>
    <row r="99" spans="4:9" x14ac:dyDescent="0.3">
      <c r="D99" s="10" t="s">
        <v>286</v>
      </c>
      <c r="E99" s="11" t="s">
        <v>43</v>
      </c>
      <c r="F99" s="12">
        <v>45586</v>
      </c>
      <c r="G99" t="str">
        <f t="shared" si="1"/>
        <v>BEFORE</v>
      </c>
      <c r="H99" s="46">
        <f ca="1">AVERAGEIF($G$2:$G$245,"Before",'Preprocced Data'!N99)</f>
        <v>0.15207452539423569</v>
      </c>
      <c r="I99" s="46">
        <f ca="1">AVERAGEIF($G$2:$G$245,"During", 'Preprocced Data'!N99)</f>
        <v>0.14648335384961245</v>
      </c>
    </row>
    <row r="100" spans="4:9" x14ac:dyDescent="0.3">
      <c r="D100" s="7" t="s">
        <v>288</v>
      </c>
      <c r="E100" s="8" t="s">
        <v>33</v>
      </c>
      <c r="F100" s="9">
        <v>45567</v>
      </c>
      <c r="G100" t="str">
        <f t="shared" si="1"/>
        <v>BEFORE</v>
      </c>
      <c r="H100" s="46">
        <f ca="1">AVERAGEIF($G$2:$G$245,"Before",'Preprocced Data'!N100)</f>
        <v>0.15269216366538171</v>
      </c>
      <c r="I100" s="46">
        <f ca="1">AVERAGEIF($G$2:$G$245,"During", 'Preprocced Data'!N100)</f>
        <v>0.13479743166773905</v>
      </c>
    </row>
    <row r="101" spans="4:9" x14ac:dyDescent="0.3">
      <c r="D101" s="10" t="s">
        <v>289</v>
      </c>
      <c r="E101" s="11" t="s">
        <v>33</v>
      </c>
      <c r="F101" s="12">
        <v>45457</v>
      </c>
      <c r="G101" t="str">
        <f t="shared" si="1"/>
        <v>BEFORE</v>
      </c>
      <c r="H101" s="46">
        <f ca="1">AVERAGEIF($G$2:$G$245,"Before",'Preprocced Data'!N101)</f>
        <v>0.14858053005706129</v>
      </c>
      <c r="I101" s="46">
        <f ca="1">AVERAGEIF($G$2:$G$245,"During", 'Preprocced Data'!N101)</f>
        <v>0.17842249583131678</v>
      </c>
    </row>
    <row r="102" spans="4:9" x14ac:dyDescent="0.3">
      <c r="D102" s="7" t="s">
        <v>290</v>
      </c>
      <c r="E102" s="8" t="s">
        <v>27</v>
      </c>
      <c r="F102" s="9">
        <v>45753</v>
      </c>
      <c r="G102" t="str">
        <f t="shared" si="1"/>
        <v>BEFORE</v>
      </c>
      <c r="H102" s="46">
        <f ca="1">AVERAGEIF($G$2:$G$245,"Before",'Preprocced Data'!N102)</f>
        <v>0.14978724071581054</v>
      </c>
      <c r="I102" s="46">
        <f ca="1">AVERAGEIF($G$2:$G$245,"During", 'Preprocced Data'!N102)</f>
        <v>0.16096109368507064</v>
      </c>
    </row>
    <row r="103" spans="4:9" x14ac:dyDescent="0.3">
      <c r="D103" s="10" t="s">
        <v>292</v>
      </c>
      <c r="E103" s="11" t="s">
        <v>14</v>
      </c>
      <c r="F103" s="12">
        <v>45543</v>
      </c>
      <c r="G103" t="str">
        <f t="shared" si="1"/>
        <v>BEFORE</v>
      </c>
      <c r="H103" s="46">
        <f ca="1">AVERAGEIF($G$2:$G$245,"Before",'Preprocced Data'!N103)</f>
        <v>0.1493747262477462</v>
      </c>
      <c r="I103" s="46">
        <f ca="1">AVERAGEIF($G$2:$G$245,"During", 'Preprocced Data'!N103)</f>
        <v>0.15160785140121152</v>
      </c>
    </row>
    <row r="104" spans="4:9" x14ac:dyDescent="0.3">
      <c r="D104" s="7" t="s">
        <v>295</v>
      </c>
      <c r="E104" s="8" t="s">
        <v>43</v>
      </c>
      <c r="F104" s="9">
        <v>45684</v>
      </c>
      <c r="G104" t="str">
        <f t="shared" si="1"/>
        <v>BEFORE</v>
      </c>
      <c r="H104" s="46">
        <f ca="1">AVERAGEIF($G$2:$G$245,"Before",'Preprocced Data'!N104)</f>
        <v>0.14836209691787106</v>
      </c>
      <c r="I104" s="46">
        <f ca="1">AVERAGEIF($G$2:$G$245,"During", 'Preprocced Data'!N104)</f>
        <v>0.16332388839769948</v>
      </c>
    </row>
    <row r="105" spans="4:9" x14ac:dyDescent="0.3">
      <c r="D105" s="10" t="s">
        <v>298</v>
      </c>
      <c r="E105" s="11" t="s">
        <v>27</v>
      </c>
      <c r="F105" s="12">
        <v>45564</v>
      </c>
      <c r="G105" t="str">
        <f t="shared" si="1"/>
        <v>BEFORE</v>
      </c>
      <c r="H105" s="46">
        <f ca="1">AVERAGEIF($G$2:$G$245,"Before",'Preprocced Data'!N105)</f>
        <v>0.14324809921841969</v>
      </c>
      <c r="I105" s="46">
        <f ca="1">AVERAGEIF($G$2:$G$245,"During", 'Preprocced Data'!N105)</f>
        <v>0.22488691679218201</v>
      </c>
    </row>
    <row r="106" spans="4:9" x14ac:dyDescent="0.3">
      <c r="D106" s="7" t="s">
        <v>300</v>
      </c>
      <c r="E106" s="8" t="s">
        <v>33</v>
      </c>
      <c r="F106" s="9">
        <v>45586</v>
      </c>
      <c r="G106" t="str">
        <f t="shared" si="1"/>
        <v>BEFORE</v>
      </c>
      <c r="H106" s="46">
        <f ca="1">AVERAGEIF($G$2:$G$245,"Before",'Preprocced Data'!N106)</f>
        <v>0.15428455826447748</v>
      </c>
      <c r="I106" s="46">
        <f ca="1">AVERAGEIF($G$2:$G$245,"During", 'Preprocced Data'!N106)</f>
        <v>0.11163722384612136</v>
      </c>
    </row>
    <row r="107" spans="4:9" x14ac:dyDescent="0.3">
      <c r="D107" s="10" t="s">
        <v>301</v>
      </c>
      <c r="E107" s="11" t="s">
        <v>33</v>
      </c>
      <c r="F107" s="12">
        <v>45720</v>
      </c>
      <c r="G107" t="str">
        <f t="shared" si="1"/>
        <v>BEFORE</v>
      </c>
      <c r="H107" s="46">
        <f ca="1">AVERAGEIF($G$2:$G$245,"Before",'Preprocced Data'!N107)</f>
        <v>0.14976422016619909</v>
      </c>
      <c r="I107" s="46">
        <f ca="1">AVERAGEIF($G$2:$G$245,"During", 'Preprocced Data'!N107)</f>
        <v>0.16141279806989006</v>
      </c>
    </row>
    <row r="108" spans="4:9" x14ac:dyDescent="0.3">
      <c r="D108" s="7" t="s">
        <v>302</v>
      </c>
      <c r="E108" s="8" t="s">
        <v>43</v>
      </c>
      <c r="F108" s="9">
        <v>45694</v>
      </c>
      <c r="G108" t="str">
        <f t="shared" si="1"/>
        <v>BEFORE</v>
      </c>
      <c r="H108" s="46">
        <f ca="1">AVERAGEIF($G$2:$G$245,"Before",'Preprocced Data'!N108)</f>
        <v>0.15355935178752295</v>
      </c>
      <c r="I108" s="46">
        <f ca="1">AVERAGEIF($G$2:$G$245,"During", 'Preprocced Data'!N108)</f>
        <v>0.12279930655858673</v>
      </c>
    </row>
    <row r="109" spans="4:9" x14ac:dyDescent="0.3">
      <c r="D109" s="10" t="s">
        <v>304</v>
      </c>
      <c r="E109" s="11" t="s">
        <v>14</v>
      </c>
      <c r="F109" s="12">
        <v>45771</v>
      </c>
      <c r="G109" t="str">
        <f t="shared" si="1"/>
        <v>BEFORE</v>
      </c>
      <c r="H109" s="46">
        <f ca="1">AVERAGEIF($G$2:$G$245,"Before",'Preprocced Data'!N109)</f>
        <v>0.14626713753558795</v>
      </c>
      <c r="I109" s="46">
        <f ca="1">AVERAGEIF($G$2:$G$245,"During", 'Preprocced Data'!N109)</f>
        <v>0.20557952522991083</v>
      </c>
    </row>
    <row r="110" spans="4:9" x14ac:dyDescent="0.3">
      <c r="D110" s="7" t="s">
        <v>306</v>
      </c>
      <c r="E110" s="8" t="s">
        <v>43</v>
      </c>
      <c r="F110" s="9">
        <v>45624</v>
      </c>
      <c r="G110" t="str">
        <f t="shared" si="1"/>
        <v>BEFORE</v>
      </c>
      <c r="H110" s="46">
        <f ca="1">AVERAGEIF($G$2:$G$245,"Before",'Preprocced Data'!N110)</f>
        <v>0.15274240270924655</v>
      </c>
      <c r="I110" s="46">
        <f ca="1">AVERAGEIF($G$2:$G$245,"During", 'Preprocced Data'!N110)</f>
        <v>0.14492956787136466</v>
      </c>
    </row>
    <row r="111" spans="4:9" x14ac:dyDescent="0.3">
      <c r="D111" s="10" t="s">
        <v>308</v>
      </c>
      <c r="E111" s="11" t="s">
        <v>33</v>
      </c>
      <c r="F111" s="12">
        <v>45484</v>
      </c>
      <c r="G111" t="str">
        <f t="shared" si="1"/>
        <v>DURING</v>
      </c>
      <c r="H111" s="46">
        <f ca="1">AVERAGEIF($G$2:$G$245,"Before",'Preprocced Data'!N111)</f>
        <v>0.15318523080801449</v>
      </c>
      <c r="I111" s="46">
        <f ca="1">AVERAGEIF($G$2:$G$245,"During", 'Preprocced Data'!N111)</f>
        <v>0.14773454537034394</v>
      </c>
    </row>
    <row r="112" spans="4:9" x14ac:dyDescent="0.3">
      <c r="D112" s="7" t="s">
        <v>311</v>
      </c>
      <c r="E112" s="8" t="s">
        <v>14</v>
      </c>
      <c r="F112" s="9">
        <v>45745</v>
      </c>
      <c r="G112" t="str">
        <f t="shared" si="1"/>
        <v>BEFORE</v>
      </c>
      <c r="H112" s="46">
        <f ca="1">AVERAGEIF($G$2:$G$245,"Before",'Preprocced Data'!N112)</f>
        <v>0.15265747875255681</v>
      </c>
      <c r="I112" s="46">
        <f ca="1">AVERAGEIF($G$2:$G$245,"During", 'Preprocced Data'!N112)</f>
        <v>0.1489009848580177</v>
      </c>
    </row>
    <row r="113" spans="4:9" x14ac:dyDescent="0.3">
      <c r="D113" s="10" t="s">
        <v>312</v>
      </c>
      <c r="E113" s="11" t="s">
        <v>27</v>
      </c>
      <c r="F113" s="12">
        <v>45594</v>
      </c>
      <c r="G113" t="str">
        <f t="shared" si="1"/>
        <v>BEFORE</v>
      </c>
      <c r="H113" s="46">
        <f ca="1">AVERAGEIF($G$2:$G$245,"Before",'Preprocced Data'!N113)</f>
        <v>0.15370815207161967</v>
      </c>
      <c r="I113" s="46">
        <f ca="1">AVERAGEIF($G$2:$G$245,"During", 'Preprocced Data'!N113)</f>
        <v>0.13764017397810399</v>
      </c>
    </row>
    <row r="114" spans="4:9" x14ac:dyDescent="0.3">
      <c r="D114" s="7" t="s">
        <v>314</v>
      </c>
      <c r="E114" s="8" t="s">
        <v>43</v>
      </c>
      <c r="F114" s="9">
        <v>45488</v>
      </c>
      <c r="G114" t="str">
        <f t="shared" si="1"/>
        <v>DURING</v>
      </c>
      <c r="H114" s="46">
        <f ca="1">AVERAGEIF($G$2:$G$245,"Before",'Preprocced Data'!N114)</f>
        <v>0.15547105164800151</v>
      </c>
      <c r="I114" s="46">
        <f ca="1">AVERAGEIF($G$2:$G$245,"During", 'Preprocced Data'!N114)</f>
        <v>0.12496786022413826</v>
      </c>
    </row>
    <row r="115" spans="4:9" x14ac:dyDescent="0.3">
      <c r="D115" s="10" t="s">
        <v>319</v>
      </c>
      <c r="E115" s="11" t="s">
        <v>27</v>
      </c>
      <c r="F115" s="12">
        <v>45741</v>
      </c>
      <c r="G115" t="str">
        <f t="shared" si="1"/>
        <v>BEFORE</v>
      </c>
      <c r="H115" s="46">
        <f ca="1">AVERAGEIF($G$2:$G$245,"Before",'Preprocced Data'!N115)</f>
        <v>0.15340951386978666</v>
      </c>
      <c r="I115" s="46">
        <f ca="1">AVERAGEIF($G$2:$G$245,"During", 'Preprocced Data'!N115)</f>
        <v>0.14539086190690073</v>
      </c>
    </row>
    <row r="116" spans="4:9" x14ac:dyDescent="0.3">
      <c r="D116" s="7" t="s">
        <v>320</v>
      </c>
      <c r="E116" s="8" t="s">
        <v>27</v>
      </c>
      <c r="F116" s="9">
        <v>45567</v>
      </c>
      <c r="G116" t="str">
        <f t="shared" si="1"/>
        <v>BEFORE</v>
      </c>
      <c r="H116" s="46">
        <f ca="1">AVERAGEIF($G$2:$G$245,"Before",'Preprocced Data'!N116)</f>
        <v>0.15625175264889307</v>
      </c>
      <c r="I116" s="46">
        <f ca="1">AVERAGEIF($G$2:$G$245,"During", 'Preprocced Data'!N116)</f>
        <v>0.12443979940370714</v>
      </c>
    </row>
    <row r="117" spans="4:9" x14ac:dyDescent="0.3">
      <c r="D117" s="10" t="s">
        <v>321</v>
      </c>
      <c r="E117" s="11" t="s">
        <v>27</v>
      </c>
      <c r="F117" s="12">
        <v>45593</v>
      </c>
      <c r="G117" t="str">
        <f t="shared" si="1"/>
        <v>BEFORE</v>
      </c>
      <c r="H117" s="46">
        <f ca="1">AVERAGEIF($G$2:$G$245,"Before",'Preprocced Data'!N117)</f>
        <v>0.15404460996369287</v>
      </c>
      <c r="I117" s="46">
        <f ca="1">AVERAGEIF($G$2:$G$245,"During", 'Preprocced Data'!N117)</f>
        <v>0.11715349689489352</v>
      </c>
    </row>
    <row r="118" spans="4:9" x14ac:dyDescent="0.3">
      <c r="D118" s="7" t="s">
        <v>322</v>
      </c>
      <c r="E118" s="8" t="s">
        <v>33</v>
      </c>
      <c r="F118" s="9">
        <v>45516</v>
      </c>
      <c r="G118" t="str">
        <f t="shared" si="1"/>
        <v>BEFORE</v>
      </c>
      <c r="H118" s="46">
        <f ca="1">AVERAGEIF($G$2:$G$245,"Before",'Preprocced Data'!N118)</f>
        <v>0.14921998137595574</v>
      </c>
      <c r="I118" s="46">
        <f ca="1">AVERAGEIF($G$2:$G$245,"During", 'Preprocced Data'!N118)</f>
        <v>0.17117397507509571</v>
      </c>
    </row>
    <row r="119" spans="4:9" x14ac:dyDescent="0.3">
      <c r="D119" s="10" t="s">
        <v>326</v>
      </c>
      <c r="E119" s="11" t="s">
        <v>33</v>
      </c>
      <c r="F119" s="12">
        <v>45586</v>
      </c>
      <c r="G119" t="str">
        <f t="shared" si="1"/>
        <v>BEFORE</v>
      </c>
      <c r="H119" s="46">
        <f ca="1">AVERAGEIF($G$2:$G$245,"Before",'Preprocced Data'!N119)</f>
        <v>0.15229412642707704</v>
      </c>
      <c r="I119" s="46">
        <f ca="1">AVERAGEIF($G$2:$G$245,"During", 'Preprocced Data'!N119)</f>
        <v>0.14944705008101478</v>
      </c>
    </row>
    <row r="120" spans="4:9" x14ac:dyDescent="0.3">
      <c r="D120" s="7" t="s">
        <v>327</v>
      </c>
      <c r="E120" s="8" t="s">
        <v>33</v>
      </c>
      <c r="F120" s="9">
        <v>45762</v>
      </c>
      <c r="G120" t="str">
        <f t="shared" si="1"/>
        <v>BEFORE</v>
      </c>
      <c r="H120" s="46">
        <f ca="1">AVERAGEIF($G$2:$G$245,"Before",'Preprocced Data'!N120)</f>
        <v>0.15414640134233382</v>
      </c>
      <c r="I120" s="46">
        <f ca="1">AVERAGEIF($G$2:$G$245,"During", 'Preprocced Data'!N120)</f>
        <v>0.1318055130084789</v>
      </c>
    </row>
    <row r="121" spans="4:9" x14ac:dyDescent="0.3">
      <c r="D121" s="10" t="s">
        <v>328</v>
      </c>
      <c r="E121" s="11" t="s">
        <v>14</v>
      </c>
      <c r="F121" s="12">
        <v>45459</v>
      </c>
      <c r="G121" t="str">
        <f t="shared" si="1"/>
        <v>DURING</v>
      </c>
      <c r="H121" s="46">
        <f ca="1">AVERAGEIF($G$2:$G$245,"Before",'Preprocced Data'!N121)</f>
        <v>0.15038481410430404</v>
      </c>
      <c r="I121" s="46">
        <f ca="1">AVERAGEIF($G$2:$G$245,"During", 'Preprocced Data'!N121)</f>
        <v>0.16351890527676041</v>
      </c>
    </row>
    <row r="122" spans="4:9" x14ac:dyDescent="0.3">
      <c r="D122" s="7" t="s">
        <v>330</v>
      </c>
      <c r="E122" s="8" t="s">
        <v>27</v>
      </c>
      <c r="F122" s="9">
        <v>45526</v>
      </c>
      <c r="G122" t="str">
        <f t="shared" si="1"/>
        <v>BEFORE</v>
      </c>
      <c r="H122" s="46">
        <f ca="1">AVERAGEIF($G$2:$G$245,"Before",'Preprocced Data'!N122)</f>
        <v>0.15574607948058158</v>
      </c>
      <c r="I122" s="46">
        <f ca="1">AVERAGEIF($G$2:$G$245,"During", 'Preprocced Data'!N122)</f>
        <v>0.11957154445214184</v>
      </c>
    </row>
    <row r="123" spans="4:9" x14ac:dyDescent="0.3">
      <c r="D123" s="10" t="s">
        <v>332</v>
      </c>
      <c r="E123" s="11" t="s">
        <v>33</v>
      </c>
      <c r="F123" s="12">
        <v>45499</v>
      </c>
      <c r="G123" t="str">
        <f t="shared" si="1"/>
        <v>BEFORE</v>
      </c>
      <c r="H123" s="46">
        <f ca="1">AVERAGEIF($G$2:$G$245,"Before",'Preprocced Data'!N123)</f>
        <v>0.15570252336107679</v>
      </c>
      <c r="I123" s="46">
        <f ca="1">AVERAGEIF($G$2:$G$245,"During", 'Preprocced Data'!N123)</f>
        <v>0.12764381014019763</v>
      </c>
    </row>
    <row r="124" spans="4:9" x14ac:dyDescent="0.3">
      <c r="D124" s="7" t="s">
        <v>333</v>
      </c>
      <c r="E124" s="8" t="s">
        <v>43</v>
      </c>
      <c r="F124" s="9">
        <v>45769</v>
      </c>
      <c r="G124" t="str">
        <f t="shared" si="1"/>
        <v>BEFORE</v>
      </c>
      <c r="H124" s="46">
        <f ca="1">AVERAGEIF($G$2:$G$245,"Before",'Preprocced Data'!N124)</f>
        <v>0.15784222265604725</v>
      </c>
      <c r="I124" s="46">
        <f ca="1">AVERAGEIF($G$2:$G$245,"During", 'Preprocced Data'!N124)</f>
        <v>0.11185694125507291</v>
      </c>
    </row>
    <row r="125" spans="4:9" x14ac:dyDescent="0.3">
      <c r="D125" s="10" t="s">
        <v>335</v>
      </c>
      <c r="E125" s="11" t="s">
        <v>14</v>
      </c>
      <c r="F125" s="12">
        <v>45658</v>
      </c>
      <c r="G125" t="str">
        <f t="shared" si="1"/>
        <v>BEFORE</v>
      </c>
      <c r="H125" s="46">
        <f ca="1">AVERAGEIF($G$2:$G$245,"Before",'Preprocced Data'!N125)</f>
        <v>0.1545073831225077</v>
      </c>
      <c r="I125" s="46">
        <f ca="1">AVERAGEIF($G$2:$G$245,"During", 'Preprocced Data'!N125)</f>
        <v>0.13904232042331541</v>
      </c>
    </row>
    <row r="126" spans="4:9" x14ac:dyDescent="0.3">
      <c r="D126" s="7" t="s">
        <v>337</v>
      </c>
      <c r="E126" s="8" t="s">
        <v>33</v>
      </c>
      <c r="F126" s="9">
        <v>45574</v>
      </c>
      <c r="G126" t="str">
        <f t="shared" si="1"/>
        <v>BEFORE</v>
      </c>
      <c r="H126" s="46">
        <f ca="1">AVERAGEIF($G$2:$G$245,"Before",'Preprocced Data'!N126)</f>
        <v>0.14616191940532308</v>
      </c>
      <c r="I126" s="46">
        <f ca="1">AVERAGEIF($G$2:$G$245,"During", 'Preprocced Data'!N126)</f>
        <v>0.21219264602786059</v>
      </c>
    </row>
    <row r="127" spans="4:9" x14ac:dyDescent="0.3">
      <c r="D127" s="10" t="s">
        <v>338</v>
      </c>
      <c r="E127" s="11" t="s">
        <v>27</v>
      </c>
      <c r="F127" s="12">
        <v>45647</v>
      </c>
      <c r="G127" t="str">
        <f t="shared" si="1"/>
        <v>BEFORE</v>
      </c>
      <c r="H127" s="46">
        <f ca="1">AVERAGEIF($G$2:$G$245,"Before",'Preprocced Data'!N127)</f>
        <v>0.15237112281709494</v>
      </c>
      <c r="I127" s="46">
        <f ca="1">AVERAGEIF($G$2:$G$245,"During", 'Preprocced Data'!N127)</f>
        <v>0.14146053292550828</v>
      </c>
    </row>
    <row r="128" spans="4:9" x14ac:dyDescent="0.3">
      <c r="D128" s="7" t="s">
        <v>340</v>
      </c>
      <c r="E128" s="8" t="s">
        <v>43</v>
      </c>
      <c r="F128" s="9">
        <v>45587</v>
      </c>
      <c r="G128" t="str">
        <f t="shared" si="1"/>
        <v>BEFORE</v>
      </c>
      <c r="H128" s="46">
        <f ca="1">AVERAGEIF($G$2:$G$245,"Before",'Preprocced Data'!N128)</f>
        <v>0.1529842811568482</v>
      </c>
      <c r="I128" s="46">
        <f ca="1">AVERAGEIF($G$2:$G$245,"During", 'Preprocced Data'!N128)</f>
        <v>0.13890330523459787</v>
      </c>
    </row>
    <row r="129" spans="4:9" x14ac:dyDescent="0.3">
      <c r="D129" s="10" t="s">
        <v>342</v>
      </c>
      <c r="E129" s="11" t="s">
        <v>27</v>
      </c>
      <c r="F129" s="12">
        <v>45496</v>
      </c>
      <c r="G129" t="str">
        <f t="shared" si="1"/>
        <v>BEFORE</v>
      </c>
      <c r="H129" s="46">
        <f ca="1">AVERAGEIF($G$2:$G$245,"Before",'Preprocced Data'!N129)</f>
        <v>0.1440519061403138</v>
      </c>
      <c r="I129" s="46">
        <f ca="1">AVERAGEIF($G$2:$G$245,"During", 'Preprocced Data'!N129)</f>
        <v>0.22892488393943947</v>
      </c>
    </row>
    <row r="130" spans="4:9" x14ac:dyDescent="0.3">
      <c r="D130" s="7" t="s">
        <v>344</v>
      </c>
      <c r="E130" s="8" t="s">
        <v>33</v>
      </c>
      <c r="F130" s="9">
        <v>45515</v>
      </c>
      <c r="G130" t="str">
        <f t="shared" si="1"/>
        <v>BEFORE</v>
      </c>
      <c r="H130" s="46">
        <f ca="1">AVERAGEIF($G$2:$G$245,"Before",'Preprocced Data'!N130)</f>
        <v>0.15306306779899972</v>
      </c>
      <c r="I130" s="46">
        <f ca="1">AVERAGEIF($G$2:$G$245,"During", 'Preprocced Data'!N130)</f>
        <v>0.14619240750338711</v>
      </c>
    </row>
    <row r="131" spans="4:9" x14ac:dyDescent="0.3">
      <c r="D131" s="10" t="s">
        <v>346</v>
      </c>
      <c r="E131" s="11" t="s">
        <v>43</v>
      </c>
      <c r="F131" s="12">
        <v>45621</v>
      </c>
      <c r="G131" t="str">
        <f t="shared" ref="G131:G194" si="2">IF(AND(F131&gt;=$B$2,F131&lt;=$C$2),"DURING","BEFORE")</f>
        <v>BEFORE</v>
      </c>
      <c r="H131" s="46">
        <f ca="1">AVERAGEIF($G$2:$G$245,"Before",'Preprocced Data'!N131)</f>
        <v>0.15672959165992009</v>
      </c>
      <c r="I131" s="46">
        <f ca="1">AVERAGEIF($G$2:$G$245,"During", 'Preprocced Data'!N131)</f>
        <v>0.11516275069630511</v>
      </c>
    </row>
    <row r="132" spans="4:9" x14ac:dyDescent="0.3">
      <c r="D132" s="7" t="s">
        <v>349</v>
      </c>
      <c r="E132" s="8" t="s">
        <v>14</v>
      </c>
      <c r="F132" s="9">
        <v>45707</v>
      </c>
      <c r="G132" t="str">
        <f t="shared" si="2"/>
        <v>BEFORE</v>
      </c>
      <c r="H132" s="46">
        <f ca="1">AVERAGEIF($G$2:$G$245,"Before",'Preprocced Data'!N132)</f>
        <v>0.15568655323710656</v>
      </c>
      <c r="I132" s="46">
        <f ca="1">AVERAGEIF($G$2:$G$245,"During", 'Preprocced Data'!N132)</f>
        <v>0.11940908878912655</v>
      </c>
    </row>
    <row r="133" spans="4:9" x14ac:dyDescent="0.3">
      <c r="D133" s="10" t="s">
        <v>353</v>
      </c>
      <c r="E133" s="11" t="s">
        <v>33</v>
      </c>
      <c r="F133" s="12">
        <v>45755</v>
      </c>
      <c r="G133" t="str">
        <f t="shared" si="2"/>
        <v>BEFORE</v>
      </c>
      <c r="H133" s="46">
        <f ca="1">AVERAGEIF($G$2:$G$245,"Before",'Preprocced Data'!N133)</f>
        <v>0.14382257476884622</v>
      </c>
      <c r="I133" s="46">
        <f ca="1">AVERAGEIF($G$2:$G$245,"During", 'Preprocced Data'!N133)</f>
        <v>0.23311189848531705</v>
      </c>
    </row>
    <row r="134" spans="4:9" x14ac:dyDescent="0.3">
      <c r="D134" s="7" t="s">
        <v>355</v>
      </c>
      <c r="E134" s="8" t="s">
        <v>27</v>
      </c>
      <c r="F134" s="9">
        <v>45715</v>
      </c>
      <c r="G134" t="str">
        <f t="shared" si="2"/>
        <v>BEFORE</v>
      </c>
      <c r="H134" s="46">
        <f ca="1">AVERAGEIF($G$2:$G$245,"Before",'Preprocced Data'!N134)</f>
        <v>0.15388529738435763</v>
      </c>
      <c r="I134" s="46">
        <f ca="1">AVERAGEIF($G$2:$G$245,"During", 'Preprocced Data'!N134)</f>
        <v>0.13068178466296376</v>
      </c>
    </row>
    <row r="135" spans="4:9" x14ac:dyDescent="0.3">
      <c r="D135" s="10" t="s">
        <v>356</v>
      </c>
      <c r="E135" s="11" t="s">
        <v>14</v>
      </c>
      <c r="F135" s="12">
        <v>45637</v>
      </c>
      <c r="G135" t="str">
        <f t="shared" si="2"/>
        <v>BEFORE</v>
      </c>
      <c r="H135" s="46">
        <f ca="1">AVERAGEIF($G$2:$G$245,"Before",'Preprocced Data'!N135)</f>
        <v>0.15746522687537401</v>
      </c>
      <c r="I135" s="46">
        <f ca="1">AVERAGEIF($G$2:$G$245,"During", 'Preprocced Data'!N135)</f>
        <v>9.4557838054092125E-2</v>
      </c>
    </row>
    <row r="136" spans="4:9" x14ac:dyDescent="0.3">
      <c r="D136" s="7" t="s">
        <v>357</v>
      </c>
      <c r="E136" s="8" t="s">
        <v>14</v>
      </c>
      <c r="F136" s="9">
        <v>45704</v>
      </c>
      <c r="G136" t="str">
        <f t="shared" si="2"/>
        <v>BEFORE</v>
      </c>
      <c r="H136" s="46">
        <f ca="1">AVERAGEIF($G$2:$G$245,"Before",'Preprocced Data'!N136)</f>
        <v>0.14942928547185899</v>
      </c>
      <c r="I136" s="46">
        <f ca="1">AVERAGEIF($G$2:$G$245,"During", 'Preprocced Data'!N136)</f>
        <v>0.17525778527384692</v>
      </c>
    </row>
    <row r="137" spans="4:9" x14ac:dyDescent="0.3">
      <c r="D137" s="10" t="s">
        <v>359</v>
      </c>
      <c r="E137" s="11" t="s">
        <v>43</v>
      </c>
      <c r="F137" s="12">
        <v>45608</v>
      </c>
      <c r="G137" t="str">
        <f t="shared" si="2"/>
        <v>BEFORE</v>
      </c>
      <c r="H137" s="46">
        <f ca="1">AVERAGEIF($G$2:$G$245,"Before",'Preprocced Data'!N137)</f>
        <v>0.14506931198032133</v>
      </c>
      <c r="I137" s="46">
        <f ca="1">AVERAGEIF($G$2:$G$245,"During", 'Preprocced Data'!N137)</f>
        <v>0.22726311525662302</v>
      </c>
    </row>
    <row r="138" spans="4:9" x14ac:dyDescent="0.3">
      <c r="D138" s="7" t="s">
        <v>361</v>
      </c>
      <c r="E138" s="8" t="s">
        <v>27</v>
      </c>
      <c r="F138" s="9">
        <v>45629</v>
      </c>
      <c r="G138" t="str">
        <f t="shared" si="2"/>
        <v>BEFORE</v>
      </c>
      <c r="H138" s="46">
        <f ca="1">AVERAGEIF($G$2:$G$245,"Before",'Preprocced Data'!N138)</f>
        <v>0.15527087519458641</v>
      </c>
      <c r="I138" s="46">
        <f ca="1">AVERAGEIF($G$2:$G$245,"During", 'Preprocced Data'!N138)</f>
        <v>0.12292917392719466</v>
      </c>
    </row>
    <row r="139" spans="4:9" x14ac:dyDescent="0.3">
      <c r="D139" s="10" t="s">
        <v>363</v>
      </c>
      <c r="E139" s="11" t="s">
        <v>14</v>
      </c>
      <c r="F139" s="12">
        <v>45775</v>
      </c>
      <c r="G139" t="str">
        <f t="shared" si="2"/>
        <v>BEFORE</v>
      </c>
      <c r="H139" s="46">
        <f ca="1">AVERAGEIF($G$2:$G$245,"Before",'Preprocced Data'!N139)</f>
        <v>0.1433288886692631</v>
      </c>
      <c r="I139" s="46">
        <f ca="1">AVERAGEIF($G$2:$G$245,"During", 'Preprocced Data'!N139)</f>
        <v>0.25633769759873765</v>
      </c>
    </row>
    <row r="140" spans="4:9" x14ac:dyDescent="0.3">
      <c r="D140" s="7" t="s">
        <v>365</v>
      </c>
      <c r="E140" s="8" t="s">
        <v>27</v>
      </c>
      <c r="F140" s="9">
        <v>45657</v>
      </c>
      <c r="G140" t="str">
        <f t="shared" si="2"/>
        <v>BEFORE</v>
      </c>
      <c r="H140" s="46">
        <f ca="1">AVERAGEIF($G$2:$G$245,"Before",'Preprocced Data'!N140)</f>
        <v>0.15107351290572377</v>
      </c>
      <c r="I140" s="46">
        <f ca="1">AVERAGEIF($G$2:$G$245,"During", 'Preprocced Data'!N140)</f>
        <v>0.18116495696260576</v>
      </c>
    </row>
    <row r="141" spans="4:9" x14ac:dyDescent="0.3">
      <c r="D141" s="10" t="s">
        <v>367</v>
      </c>
      <c r="E141" s="11" t="s">
        <v>43</v>
      </c>
      <c r="F141" s="12">
        <v>45518</v>
      </c>
      <c r="G141" t="str">
        <f t="shared" si="2"/>
        <v>BEFORE</v>
      </c>
      <c r="H141" s="46">
        <f ca="1">AVERAGEIF($G$2:$G$245,"Before",'Preprocced Data'!N141)</f>
        <v>0.15463969016233892</v>
      </c>
      <c r="I141" s="46">
        <f ca="1">AVERAGEIF($G$2:$G$245,"During", 'Preprocced Data'!N141)</f>
        <v>0.1490152223926651</v>
      </c>
    </row>
    <row r="142" spans="4:9" x14ac:dyDescent="0.3">
      <c r="D142" s="7" t="s">
        <v>369</v>
      </c>
      <c r="E142" s="8" t="s">
        <v>14</v>
      </c>
      <c r="F142" s="9">
        <v>45631</v>
      </c>
      <c r="G142" t="str">
        <f t="shared" si="2"/>
        <v>BEFORE</v>
      </c>
      <c r="H142" s="46">
        <f ca="1">AVERAGEIF($G$2:$G$245,"Before",'Preprocced Data'!N142)</f>
        <v>0.14751095214341292</v>
      </c>
      <c r="I142" s="46">
        <f ca="1">AVERAGEIF($G$2:$G$245,"During", 'Preprocced Data'!N142)</f>
        <v>0.23336300015812494</v>
      </c>
    </row>
    <row r="143" spans="4:9" x14ac:dyDescent="0.3">
      <c r="D143" s="10" t="s">
        <v>372</v>
      </c>
      <c r="E143" s="11" t="s">
        <v>33</v>
      </c>
      <c r="F143" s="12">
        <v>45674</v>
      </c>
      <c r="G143" t="str">
        <f t="shared" si="2"/>
        <v>BEFORE</v>
      </c>
      <c r="H143" s="46">
        <f ca="1">AVERAGEIF($G$2:$G$245,"Before",'Preprocced Data'!N143)</f>
        <v>0.15405529832332218</v>
      </c>
      <c r="I143" s="46">
        <f ca="1">AVERAGEIF($G$2:$G$245,"During", 'Preprocced Data'!N143)</f>
        <v>0.16545841148687604</v>
      </c>
    </row>
    <row r="144" spans="4:9" x14ac:dyDescent="0.3">
      <c r="D144" s="7" t="s">
        <v>374</v>
      </c>
      <c r="E144" s="8" t="s">
        <v>43</v>
      </c>
      <c r="F144" s="9">
        <v>45463</v>
      </c>
      <c r="G144" t="str">
        <f t="shared" si="2"/>
        <v>DURING</v>
      </c>
      <c r="H144" s="46">
        <f ca="1">AVERAGEIF($G$2:$G$245,"Before",'Preprocced Data'!N144)</f>
        <v>0.14390552098248249</v>
      </c>
      <c r="I144" s="46">
        <f ca="1">AVERAGEIF($G$2:$G$245,"During", 'Preprocced Data'!N144)</f>
        <v>0.21514318868435237</v>
      </c>
    </row>
    <row r="145" spans="4:9" x14ac:dyDescent="0.3">
      <c r="D145" s="10" t="s">
        <v>376</v>
      </c>
      <c r="E145" s="11" t="s">
        <v>33</v>
      </c>
      <c r="F145" s="12">
        <v>45483</v>
      </c>
      <c r="G145" t="str">
        <f t="shared" si="2"/>
        <v>DURING</v>
      </c>
      <c r="H145" s="46">
        <f ca="1">AVERAGEIF($G$2:$G$245,"Before",'Preprocced Data'!N145)</f>
        <v>0.15278084283081922</v>
      </c>
      <c r="I145" s="46">
        <f ca="1">AVERAGEIF($G$2:$G$245,"During", 'Preprocced Data'!N145)</f>
        <v>0.13439816819792799</v>
      </c>
    </row>
    <row r="146" spans="4:9" x14ac:dyDescent="0.3">
      <c r="D146" s="7" t="s">
        <v>378</v>
      </c>
      <c r="E146" s="8" t="s">
        <v>33</v>
      </c>
      <c r="F146" s="9">
        <v>45603</v>
      </c>
      <c r="G146" t="str">
        <f t="shared" si="2"/>
        <v>BEFORE</v>
      </c>
      <c r="H146" s="46">
        <f ca="1">AVERAGEIF($G$2:$G$245,"Before",'Preprocced Data'!N146)</f>
        <v>0.15205132748413053</v>
      </c>
      <c r="I146" s="46">
        <f ca="1">AVERAGEIF($G$2:$G$245,"During", 'Preprocced Data'!N146)</f>
        <v>0.14859826386298752</v>
      </c>
    </row>
    <row r="147" spans="4:9" x14ac:dyDescent="0.3">
      <c r="D147" s="10" t="s">
        <v>380</v>
      </c>
      <c r="E147" s="11" t="s">
        <v>27</v>
      </c>
      <c r="F147" s="12">
        <v>45629</v>
      </c>
      <c r="G147" t="str">
        <f t="shared" si="2"/>
        <v>BEFORE</v>
      </c>
      <c r="H147" s="46">
        <f ca="1">AVERAGEIF($G$2:$G$245,"Before",'Preprocced Data'!N147)</f>
        <v>0.15192154259692814</v>
      </c>
      <c r="I147" s="46">
        <f ca="1">AVERAGEIF($G$2:$G$245,"During", 'Preprocced Data'!N147)</f>
        <v>8.8582263678554207E-2</v>
      </c>
    </row>
    <row r="148" spans="4:9" x14ac:dyDescent="0.3">
      <c r="D148" s="7" t="s">
        <v>381</v>
      </c>
      <c r="E148" s="8" t="s">
        <v>27</v>
      </c>
      <c r="F148" s="9">
        <v>45737</v>
      </c>
      <c r="G148" t="str">
        <f t="shared" si="2"/>
        <v>BEFORE</v>
      </c>
      <c r="H148" s="46">
        <f ca="1">AVERAGEIF($G$2:$G$245,"Before",'Preprocced Data'!N148)</f>
        <v>0.1448321060323034</v>
      </c>
      <c r="I148" s="46">
        <f ca="1">AVERAGEIF($G$2:$G$245,"During", 'Preprocced Data'!N148)</f>
        <v>0.1655434514344373</v>
      </c>
    </row>
    <row r="149" spans="4:9" x14ac:dyDescent="0.3">
      <c r="D149" s="10" t="s">
        <v>383</v>
      </c>
      <c r="E149" s="11" t="s">
        <v>43</v>
      </c>
      <c r="F149" s="12">
        <v>45504</v>
      </c>
      <c r="G149" t="str">
        <f t="shared" si="2"/>
        <v>BEFORE</v>
      </c>
      <c r="H149" s="46">
        <f ca="1">AVERAGEIF($G$2:$G$245,"Before",'Preprocced Data'!N149)</f>
        <v>0.14983704049712179</v>
      </c>
      <c r="I149" s="46">
        <f ca="1">AVERAGEIF($G$2:$G$245,"During", 'Preprocced Data'!N149)</f>
        <v>0.10639485822838714</v>
      </c>
    </row>
    <row r="150" spans="4:9" x14ac:dyDescent="0.3">
      <c r="D150" s="7" t="s">
        <v>384</v>
      </c>
      <c r="E150" s="8" t="s">
        <v>33</v>
      </c>
      <c r="F150" s="9">
        <v>45643</v>
      </c>
      <c r="G150" t="str">
        <f t="shared" si="2"/>
        <v>BEFORE</v>
      </c>
      <c r="H150" s="46">
        <f ca="1">AVERAGEIF($G$2:$G$245,"Before",'Preprocced Data'!N150)</f>
        <v>0.14652129751271115</v>
      </c>
      <c r="I150" s="46">
        <f ca="1">AVERAGEIF($G$2:$G$245,"During", 'Preprocced Data'!N150)</f>
        <v>0.14383778882457043</v>
      </c>
    </row>
    <row r="151" spans="4:9" x14ac:dyDescent="0.3">
      <c r="D151" s="10" t="s">
        <v>386</v>
      </c>
      <c r="E151" s="11" t="s">
        <v>14</v>
      </c>
      <c r="F151" s="12">
        <v>45501</v>
      </c>
      <c r="G151" t="str">
        <f t="shared" si="2"/>
        <v>BEFORE</v>
      </c>
      <c r="H151" s="46">
        <f ca="1">AVERAGEIF($G$2:$G$245,"Before",'Preprocced Data'!N151)</f>
        <v>0.14540774036525297</v>
      </c>
      <c r="I151" s="46">
        <f ca="1">AVERAGEIF($G$2:$G$245,"During", 'Preprocced Data'!N151)</f>
        <v>0.13887349996104845</v>
      </c>
    </row>
    <row r="152" spans="4:9" x14ac:dyDescent="0.3">
      <c r="D152" s="7" t="s">
        <v>390</v>
      </c>
      <c r="E152" s="8" t="s">
        <v>43</v>
      </c>
      <c r="F152" s="9">
        <v>45528</v>
      </c>
      <c r="G152" t="str">
        <f t="shared" si="2"/>
        <v>BEFORE</v>
      </c>
      <c r="H152" s="46">
        <f ca="1">AVERAGEIF($G$2:$G$245,"Before",'Preprocced Data'!N152)</f>
        <v>0.14774627351586819</v>
      </c>
      <c r="I152" s="46">
        <f ca="1">AVERAGEIF($G$2:$G$245,"During", 'Preprocced Data'!N152)</f>
        <v>0.11781676032185404</v>
      </c>
    </row>
    <row r="153" spans="4:9" x14ac:dyDescent="0.3">
      <c r="D153" s="10" t="s">
        <v>391</v>
      </c>
      <c r="E153" s="11" t="s">
        <v>14</v>
      </c>
      <c r="F153" s="12">
        <v>45648</v>
      </c>
      <c r="G153" t="str">
        <f t="shared" si="2"/>
        <v>BEFORE</v>
      </c>
      <c r="H153" s="46">
        <f ca="1">AVERAGEIF($G$2:$G$245,"Before",'Preprocced Data'!N153)</f>
        <v>0.14779129649390263</v>
      </c>
      <c r="I153" s="46">
        <f ca="1">AVERAGEIF($G$2:$G$245,"During", 'Preprocced Data'!N153)</f>
        <v>0.12438360800940032</v>
      </c>
    </row>
    <row r="154" spans="4:9" x14ac:dyDescent="0.3">
      <c r="D154" s="7" t="s">
        <v>393</v>
      </c>
      <c r="E154" s="8" t="s">
        <v>27</v>
      </c>
      <c r="F154" s="9">
        <v>45449</v>
      </c>
      <c r="G154" t="str">
        <f t="shared" si="2"/>
        <v>BEFORE</v>
      </c>
      <c r="H154" s="46">
        <f ca="1">AVERAGEIF($G$2:$G$245,"Before",'Preprocced Data'!N154)</f>
        <v>0.14357492640404845</v>
      </c>
      <c r="I154" s="46">
        <f ca="1">AVERAGEIF($G$2:$G$245,"During", 'Preprocced Data'!N154)</f>
        <v>0.17038617384565541</v>
      </c>
    </row>
    <row r="155" spans="4:9" x14ac:dyDescent="0.3">
      <c r="D155" s="10" t="s">
        <v>394</v>
      </c>
      <c r="E155" s="11" t="s">
        <v>43</v>
      </c>
      <c r="F155" s="12">
        <v>45740</v>
      </c>
      <c r="G155" t="str">
        <f t="shared" si="2"/>
        <v>BEFORE</v>
      </c>
      <c r="H155" s="46">
        <f ca="1">AVERAGEIF($G$2:$G$245,"Before",'Preprocced Data'!N155)</f>
        <v>0.15039831511980239</v>
      </c>
      <c r="I155" s="46">
        <f ca="1">AVERAGEIF($G$2:$G$245,"During", 'Preprocced Data'!N155)</f>
        <v>0.11473181997377591</v>
      </c>
    </row>
    <row r="156" spans="4:9" x14ac:dyDescent="0.3">
      <c r="D156" s="7" t="s">
        <v>397</v>
      </c>
      <c r="E156" s="8" t="s">
        <v>27</v>
      </c>
      <c r="F156" s="9">
        <v>45629</v>
      </c>
      <c r="G156" t="str">
        <f t="shared" si="2"/>
        <v>BEFORE</v>
      </c>
      <c r="H156" s="46">
        <f ca="1">AVERAGEIF($G$2:$G$245,"Before",'Preprocced Data'!N156)</f>
        <v>0.1484922163711814</v>
      </c>
      <c r="I156" s="46">
        <f ca="1">AVERAGEIF($G$2:$G$245,"During", 'Preprocced Data'!N156)</f>
        <v>0.14054170962708645</v>
      </c>
    </row>
    <row r="157" spans="4:9" x14ac:dyDescent="0.3">
      <c r="D157" s="10" t="s">
        <v>400</v>
      </c>
      <c r="E157" s="11" t="s">
        <v>14</v>
      </c>
      <c r="F157" s="12">
        <v>45546</v>
      </c>
      <c r="G157" t="str">
        <f t="shared" si="2"/>
        <v>BEFORE</v>
      </c>
      <c r="H157" s="46">
        <f ca="1">AVERAGEIF($G$2:$G$245,"Before",'Preprocced Data'!N157)</f>
        <v>0.15016173081294354</v>
      </c>
      <c r="I157" s="46">
        <f ca="1">AVERAGEIF($G$2:$G$245,"During", 'Preprocced Data'!N157)</f>
        <v>0.13113647920629379</v>
      </c>
    </row>
    <row r="158" spans="4:9" x14ac:dyDescent="0.3">
      <c r="D158" s="7" t="s">
        <v>402</v>
      </c>
      <c r="E158" s="8" t="s">
        <v>27</v>
      </c>
      <c r="F158" s="9">
        <v>45567</v>
      </c>
      <c r="G158" t="str">
        <f t="shared" si="2"/>
        <v>BEFORE</v>
      </c>
      <c r="H158" s="46">
        <f ca="1">AVERAGEIF($G$2:$G$245,"Before",'Preprocced Data'!N158)</f>
        <v>0.15005856738038489</v>
      </c>
      <c r="I158" s="46">
        <f ca="1">AVERAGEIF($G$2:$G$245,"During", 'Preprocced Data'!N158)</f>
        <v>0.13769830479939774</v>
      </c>
    </row>
    <row r="159" spans="4:9" x14ac:dyDescent="0.3">
      <c r="D159" s="10" t="s">
        <v>403</v>
      </c>
      <c r="E159" s="11" t="s">
        <v>33</v>
      </c>
      <c r="F159" s="12">
        <v>45519</v>
      </c>
      <c r="G159" t="str">
        <f t="shared" si="2"/>
        <v>BEFORE</v>
      </c>
      <c r="H159" s="46">
        <f ca="1">AVERAGEIF($G$2:$G$245,"Before",'Preprocced Data'!N159)</f>
        <v>0.15389775715645576</v>
      </c>
      <c r="I159" s="46">
        <f ca="1">AVERAGEIF($G$2:$G$245,"During", 'Preprocced Data'!N159)</f>
        <v>0.11174254395132913</v>
      </c>
    </row>
    <row r="160" spans="4:9" x14ac:dyDescent="0.3">
      <c r="D160" s="7" t="s">
        <v>405</v>
      </c>
      <c r="E160" s="8" t="s">
        <v>33</v>
      </c>
      <c r="F160" s="9">
        <v>45645</v>
      </c>
      <c r="G160" t="str">
        <f t="shared" si="2"/>
        <v>BEFORE</v>
      </c>
      <c r="H160" s="46">
        <f ca="1">AVERAGEIF($G$2:$G$245,"Before",'Preprocced Data'!N160)</f>
        <v>0.15378188103182408</v>
      </c>
      <c r="I160" s="46">
        <f ca="1">AVERAGEIF($G$2:$G$245,"During", 'Preprocced Data'!N160)</f>
        <v>0.1146473096961933</v>
      </c>
    </row>
    <row r="161" spans="4:9" x14ac:dyDescent="0.3">
      <c r="D161" s="10" t="s">
        <v>407</v>
      </c>
      <c r="E161" s="11" t="s">
        <v>14</v>
      </c>
      <c r="F161" s="12">
        <v>45587</v>
      </c>
      <c r="G161" t="str">
        <f t="shared" si="2"/>
        <v>BEFORE</v>
      </c>
      <c r="H161" s="46">
        <f ca="1">AVERAGEIF($G$2:$G$245,"Before",'Preprocced Data'!N161)</f>
        <v>0.15001758636618673</v>
      </c>
      <c r="I161" s="46">
        <f ca="1">AVERAGEIF($G$2:$G$245,"During", 'Preprocced Data'!N161)</f>
        <v>0.14954840571258959</v>
      </c>
    </row>
    <row r="162" spans="4:9" x14ac:dyDescent="0.3">
      <c r="D162" s="7" t="s">
        <v>408</v>
      </c>
      <c r="E162" s="8" t="s">
        <v>14</v>
      </c>
      <c r="F162" s="9">
        <v>45549</v>
      </c>
      <c r="G162" t="str">
        <f t="shared" si="2"/>
        <v>BEFORE</v>
      </c>
      <c r="H162" s="46">
        <f ca="1">AVERAGEIF($G$2:$G$245,"Before",'Preprocced Data'!N162)</f>
        <v>0.14937520553259279</v>
      </c>
      <c r="I162" s="46">
        <f ca="1">AVERAGEIF($G$2:$G$245,"During", 'Preprocced Data'!N162)</f>
        <v>0.16436080884920837</v>
      </c>
    </row>
    <row r="163" spans="4:9" x14ac:dyDescent="0.3">
      <c r="D163" s="10" t="s">
        <v>410</v>
      </c>
      <c r="E163" s="11" t="s">
        <v>27</v>
      </c>
      <c r="F163" s="12">
        <v>45626</v>
      </c>
      <c r="G163" t="str">
        <f t="shared" si="2"/>
        <v>BEFORE</v>
      </c>
      <c r="H163" s="46">
        <f ca="1">AVERAGEIF($G$2:$G$245,"Before",'Preprocced Data'!N163)</f>
        <v>0.1533731461768128</v>
      </c>
      <c r="I163" s="46">
        <f ca="1">AVERAGEIF($G$2:$G$245,"During", 'Preprocced Data'!N163)</f>
        <v>0.12603351056227086</v>
      </c>
    </row>
    <row r="164" spans="4:9" x14ac:dyDescent="0.3">
      <c r="D164" s="7" t="s">
        <v>411</v>
      </c>
      <c r="E164" s="8" t="s">
        <v>43</v>
      </c>
      <c r="F164" s="9">
        <v>45754</v>
      </c>
      <c r="G164" t="str">
        <f t="shared" si="2"/>
        <v>BEFORE</v>
      </c>
      <c r="H164" s="46">
        <f ca="1">AVERAGEIF($G$2:$G$245,"Before",'Preprocced Data'!N164)</f>
        <v>0.15093604346616796</v>
      </c>
      <c r="I164" s="46">
        <f ca="1">AVERAGEIF($G$2:$G$245,"During", 'Preprocced Data'!N164)</f>
        <v>0.1533402824660742</v>
      </c>
    </row>
    <row r="165" spans="4:9" x14ac:dyDescent="0.3">
      <c r="D165" s="10" t="s">
        <v>413</v>
      </c>
      <c r="E165" s="11" t="s">
        <v>14</v>
      </c>
      <c r="F165" s="12">
        <v>45672</v>
      </c>
      <c r="G165" t="str">
        <f t="shared" si="2"/>
        <v>BEFORE</v>
      </c>
      <c r="H165" s="46">
        <f ca="1">AVERAGEIF($G$2:$G$245,"Before",'Preprocced Data'!N165)</f>
        <v>0.15761665166916208</v>
      </c>
      <c r="I165" s="46">
        <f ca="1">AVERAGEIF($G$2:$G$245,"During", 'Preprocced Data'!N165)</f>
        <v>0.10972498625555904</v>
      </c>
    </row>
    <row r="166" spans="4:9" x14ac:dyDescent="0.3">
      <c r="D166" s="7" t="s">
        <v>415</v>
      </c>
      <c r="E166" s="8" t="s">
        <v>43</v>
      </c>
      <c r="F166" s="9">
        <v>45445</v>
      </c>
      <c r="G166" t="str">
        <f t="shared" si="2"/>
        <v>BEFORE</v>
      </c>
      <c r="H166" s="46">
        <f ca="1">AVERAGEIF($G$2:$G$245,"Before",'Preprocced Data'!N166)</f>
        <v>0.16054276083262528</v>
      </c>
      <c r="I166" s="46">
        <f ca="1">AVERAGEIF($G$2:$G$245,"During", 'Preprocced Data'!N166)</f>
        <v>8.5779775029759864E-2</v>
      </c>
    </row>
    <row r="167" spans="4:9" x14ac:dyDescent="0.3">
      <c r="D167" s="10" t="s">
        <v>417</v>
      </c>
      <c r="E167" s="11" t="s">
        <v>33</v>
      </c>
      <c r="F167" s="12">
        <v>45617</v>
      </c>
      <c r="G167" t="str">
        <f t="shared" si="2"/>
        <v>BEFORE</v>
      </c>
      <c r="H167" s="46">
        <f ca="1">AVERAGEIF($G$2:$G$245,"Before",'Preprocced Data'!N167)</f>
        <v>0.14688384804076524</v>
      </c>
      <c r="I167" s="46">
        <f ca="1">AVERAGEIF($G$2:$G$245,"During", 'Preprocced Data'!N167)</f>
        <v>0.21680690889542859</v>
      </c>
    </row>
    <row r="168" spans="4:9" x14ac:dyDescent="0.3">
      <c r="D168" s="7" t="s">
        <v>419</v>
      </c>
      <c r="E168" s="8" t="s">
        <v>33</v>
      </c>
      <c r="F168" s="9">
        <v>45658</v>
      </c>
      <c r="G168" t="str">
        <f t="shared" si="2"/>
        <v>BEFORE</v>
      </c>
      <c r="H168" s="46">
        <f ca="1">AVERAGEIF($G$2:$G$245,"Before",'Preprocced Data'!N168)</f>
        <v>0.1457596181656943</v>
      </c>
      <c r="I168" s="46">
        <f ca="1">AVERAGEIF($G$2:$G$245,"During", 'Preprocced Data'!N168)</f>
        <v>0.23783782996252092</v>
      </c>
    </row>
    <row r="169" spans="4:9" x14ac:dyDescent="0.3">
      <c r="D169" s="10" t="s">
        <v>420</v>
      </c>
      <c r="E169" s="11" t="s">
        <v>14</v>
      </c>
      <c r="F169" s="12">
        <v>45771</v>
      </c>
      <c r="G169" t="str">
        <f t="shared" si="2"/>
        <v>BEFORE</v>
      </c>
      <c r="H169" s="46">
        <f ca="1">AVERAGEIF($G$2:$G$245,"Before",'Preprocced Data'!N169)</f>
        <v>0.155274396800027</v>
      </c>
      <c r="I169" s="46">
        <f ca="1">AVERAGEIF($G$2:$G$245,"During", 'Preprocced Data'!N169)</f>
        <v>0.13685091857119963</v>
      </c>
    </row>
    <row r="170" spans="4:9" x14ac:dyDescent="0.3">
      <c r="D170" s="7" t="s">
        <v>422</v>
      </c>
      <c r="E170" s="8" t="s">
        <v>14</v>
      </c>
      <c r="F170" s="9">
        <v>45467</v>
      </c>
      <c r="G170" t="str">
        <f t="shared" si="2"/>
        <v>DURING</v>
      </c>
      <c r="H170" s="46">
        <f ca="1">AVERAGEIF($G$2:$G$245,"Before",'Preprocced Data'!N170)</f>
        <v>0.15438559523467035</v>
      </c>
      <c r="I170" s="46">
        <f ca="1">AVERAGEIF($G$2:$G$245,"During", 'Preprocced Data'!N170)</f>
        <v>0.15076692938249364</v>
      </c>
    </row>
    <row r="171" spans="4:9" x14ac:dyDescent="0.3">
      <c r="D171" s="10" t="s">
        <v>423</v>
      </c>
      <c r="E171" s="11" t="s">
        <v>14</v>
      </c>
      <c r="F171" s="12">
        <v>45655</v>
      </c>
      <c r="G171" t="str">
        <f t="shared" si="2"/>
        <v>BEFORE</v>
      </c>
      <c r="H171" s="46">
        <f ca="1">AVERAGEIF($G$2:$G$245,"Before",'Preprocced Data'!N171)</f>
        <v>0.14873558477649151</v>
      </c>
      <c r="I171" s="46">
        <f ca="1">AVERAGEIF($G$2:$G$245,"During", 'Preprocced Data'!N171)</f>
        <v>0.20392310913000902</v>
      </c>
    </row>
    <row r="172" spans="4:9" x14ac:dyDescent="0.3">
      <c r="D172" s="7" t="s">
        <v>425</v>
      </c>
      <c r="E172" s="8" t="s">
        <v>27</v>
      </c>
      <c r="F172" s="9">
        <v>45467</v>
      </c>
      <c r="G172" t="str">
        <f t="shared" si="2"/>
        <v>DURING</v>
      </c>
      <c r="H172" s="46">
        <f ca="1">AVERAGEIF($G$2:$G$245,"Before",'Preprocced Data'!N172)</f>
        <v>0.14060023199422336</v>
      </c>
      <c r="I172" s="46">
        <f ca="1">AVERAGEIF($G$2:$G$245,"During", 'Preprocced Data'!N172)</f>
        <v>0.27173644978185857</v>
      </c>
    </row>
    <row r="173" spans="4:9" x14ac:dyDescent="0.3">
      <c r="D173" s="10" t="s">
        <v>426</v>
      </c>
      <c r="E173" s="11" t="s">
        <v>14</v>
      </c>
      <c r="F173" s="12">
        <v>45735</v>
      </c>
      <c r="G173" t="str">
        <f t="shared" si="2"/>
        <v>BEFORE</v>
      </c>
      <c r="H173" s="46">
        <f ca="1">AVERAGEIF($G$2:$G$245,"Before",'Preprocced Data'!N173)</f>
        <v>0.16214073114891037</v>
      </c>
      <c r="I173" s="46">
        <f ca="1">AVERAGEIF($G$2:$G$245,"During", 'Preprocced Data'!N173)</f>
        <v>0.10347769697093895</v>
      </c>
    </row>
    <row r="174" spans="4:9" x14ac:dyDescent="0.3">
      <c r="D174" s="7" t="s">
        <v>428</v>
      </c>
      <c r="E174" s="8" t="s">
        <v>27</v>
      </c>
      <c r="F174" s="9">
        <v>45707</v>
      </c>
      <c r="G174" t="str">
        <f t="shared" si="2"/>
        <v>BEFORE</v>
      </c>
      <c r="H174" s="46">
        <f ca="1">AVERAGEIF($G$2:$G$245,"Before",'Preprocced Data'!N174)</f>
        <v>0.15729337886267505</v>
      </c>
      <c r="I174" s="46">
        <f ca="1">AVERAGEIF($G$2:$G$245,"During", 'Preprocced Data'!N174)</f>
        <v>0.15217996108481502</v>
      </c>
    </row>
    <row r="175" spans="4:9" x14ac:dyDescent="0.3">
      <c r="D175" s="10" t="s">
        <v>429</v>
      </c>
      <c r="E175" s="11" t="s">
        <v>14</v>
      </c>
      <c r="F175" s="12">
        <v>45491</v>
      </c>
      <c r="G175" t="str">
        <f t="shared" si="2"/>
        <v>BEFORE</v>
      </c>
      <c r="H175" s="46">
        <f ca="1">AVERAGEIF($G$2:$G$245,"Before",'Preprocced Data'!N175)</f>
        <v>0.15315386424992239</v>
      </c>
      <c r="I175" s="46">
        <f ca="1">AVERAGEIF($G$2:$G$245,"During", 'Preprocced Data'!N175)</f>
        <v>0.14245493532441805</v>
      </c>
    </row>
    <row r="176" spans="4:9" x14ac:dyDescent="0.3">
      <c r="D176" s="7" t="s">
        <v>431</v>
      </c>
      <c r="E176" s="8" t="s">
        <v>27</v>
      </c>
      <c r="F176" s="9">
        <v>45719</v>
      </c>
      <c r="G176" t="str">
        <f t="shared" si="2"/>
        <v>BEFORE</v>
      </c>
      <c r="H176" s="46">
        <f ca="1">AVERAGEIF($G$2:$G$245,"Before",'Preprocced Data'!N176)</f>
        <v>0.15265002390658375</v>
      </c>
      <c r="I176" s="46">
        <f ca="1">AVERAGEIF($G$2:$G$245,"During", 'Preprocced Data'!N176)</f>
        <v>0.14225137120488607</v>
      </c>
    </row>
    <row r="177" spans="4:9" x14ac:dyDescent="0.3">
      <c r="D177" s="10" t="s">
        <v>432</v>
      </c>
      <c r="E177" s="11" t="s">
        <v>43</v>
      </c>
      <c r="F177" s="12">
        <v>45778</v>
      </c>
      <c r="G177" t="str">
        <f t="shared" si="2"/>
        <v>BEFORE</v>
      </c>
      <c r="H177" s="46">
        <f ca="1">AVERAGEIF($G$2:$G$245,"Before",'Preprocced Data'!N177)</f>
        <v>0.15298585625228583</v>
      </c>
      <c r="I177" s="46">
        <f ca="1">AVERAGEIF($G$2:$G$245,"During", 'Preprocced Data'!N177)</f>
        <v>0.14346839654468302</v>
      </c>
    </row>
    <row r="178" spans="4:9" x14ac:dyDescent="0.3">
      <c r="D178" s="7" t="s">
        <v>434</v>
      </c>
      <c r="E178" s="8" t="s">
        <v>33</v>
      </c>
      <c r="F178" s="9">
        <v>45649</v>
      </c>
      <c r="G178" t="str">
        <f t="shared" si="2"/>
        <v>BEFORE</v>
      </c>
      <c r="H178" s="46">
        <f ca="1">AVERAGEIF($G$2:$G$245,"Before",'Preprocced Data'!N178)</f>
        <v>0.15077128466999612</v>
      </c>
      <c r="I178" s="46">
        <f ca="1">AVERAGEIF($G$2:$G$245,"During", 'Preprocced Data'!N178)</f>
        <v>0.17288028809295977</v>
      </c>
    </row>
    <row r="179" spans="4:9" x14ac:dyDescent="0.3">
      <c r="D179" s="10" t="s">
        <v>435</v>
      </c>
      <c r="E179" s="11" t="s">
        <v>43</v>
      </c>
      <c r="F179" s="12">
        <v>45783</v>
      </c>
      <c r="G179" t="str">
        <f t="shared" si="2"/>
        <v>BEFORE</v>
      </c>
      <c r="H179" s="46">
        <f ca="1">AVERAGEIF($G$2:$G$245,"Before",'Preprocced Data'!N179)</f>
        <v>0.14928946221788783</v>
      </c>
      <c r="I179" s="46">
        <f ca="1">AVERAGEIF($G$2:$G$245,"During", 'Preprocced Data'!N179)</f>
        <v>0.1528977295972023</v>
      </c>
    </row>
    <row r="180" spans="4:9" x14ac:dyDescent="0.3">
      <c r="D180" s="7" t="s">
        <v>437</v>
      </c>
      <c r="E180" s="8" t="s">
        <v>27</v>
      </c>
      <c r="F180" s="9">
        <v>45502</v>
      </c>
      <c r="G180" t="str">
        <f t="shared" si="2"/>
        <v>BEFORE</v>
      </c>
      <c r="H180" s="46">
        <f ca="1">AVERAGEIF($G$2:$G$245,"Before",'Preprocced Data'!N180)</f>
        <v>0.15061489373112175</v>
      </c>
      <c r="I180" s="46">
        <f ca="1">AVERAGEIF($G$2:$G$245,"During", 'Preprocced Data'!N180)</f>
        <v>0.15275090462456006</v>
      </c>
    </row>
    <row r="181" spans="4:9" x14ac:dyDescent="0.3">
      <c r="D181" s="10" t="s">
        <v>439</v>
      </c>
      <c r="E181" s="11" t="s">
        <v>43</v>
      </c>
      <c r="F181" s="12">
        <v>45454</v>
      </c>
      <c r="G181" t="str">
        <f t="shared" si="2"/>
        <v>BEFORE</v>
      </c>
      <c r="H181" s="46">
        <f ca="1">AVERAGEIF($G$2:$G$245,"Before",'Preprocced Data'!N181)</f>
        <v>0.15855607449513318</v>
      </c>
      <c r="I181" s="46">
        <f ca="1">AVERAGEIF($G$2:$G$245,"During", 'Preprocced Data'!N181)</f>
        <v>0.10013799653144831</v>
      </c>
    </row>
    <row r="182" spans="4:9" x14ac:dyDescent="0.3">
      <c r="D182" s="7" t="s">
        <v>440</v>
      </c>
      <c r="E182" s="8" t="s">
        <v>14</v>
      </c>
      <c r="F182" s="9">
        <v>45685</v>
      </c>
      <c r="G182" t="str">
        <f t="shared" si="2"/>
        <v>BEFORE</v>
      </c>
      <c r="H182" s="46">
        <f ca="1">AVERAGEIF($G$2:$G$245,"Before",'Preprocced Data'!N182)</f>
        <v>0.14482498489001316</v>
      </c>
      <c r="I182" s="46">
        <f ca="1">AVERAGEIF($G$2:$G$245,"During", 'Preprocced Data'!N182)</f>
        <v>0.20773223884083075</v>
      </c>
    </row>
    <row r="183" spans="4:9" x14ac:dyDescent="0.3">
      <c r="D183" s="10" t="s">
        <v>443</v>
      </c>
      <c r="E183" s="11" t="s">
        <v>43</v>
      </c>
      <c r="F183" s="12">
        <v>45573</v>
      </c>
      <c r="G183" t="str">
        <f t="shared" si="2"/>
        <v>BEFORE</v>
      </c>
      <c r="H183" s="46">
        <f ca="1">AVERAGEIF($G$2:$G$245,"Before",'Preprocced Data'!N183)</f>
        <v>0.14346664684420166</v>
      </c>
      <c r="I183" s="46">
        <f ca="1">AVERAGEIF($G$2:$G$245,"During", 'Preprocced Data'!N183)</f>
        <v>0.21242272502485793</v>
      </c>
    </row>
    <row r="184" spans="4:9" x14ac:dyDescent="0.3">
      <c r="D184" s="7" t="s">
        <v>447</v>
      </c>
      <c r="E184" s="8" t="s">
        <v>43</v>
      </c>
      <c r="F184" s="9">
        <v>45790</v>
      </c>
      <c r="G184" t="str">
        <f t="shared" si="2"/>
        <v>BEFORE</v>
      </c>
      <c r="H184" s="46">
        <f ca="1">AVERAGEIF($G$2:$G$245,"Before",'Preprocced Data'!N184)</f>
        <v>0.15189831991200742</v>
      </c>
      <c r="I184" s="46">
        <f ca="1">AVERAGEIF($G$2:$G$245,"During", 'Preprocced Data'!N184)</f>
        <v>0.13906573892714974</v>
      </c>
    </row>
    <row r="185" spans="4:9" x14ac:dyDescent="0.3">
      <c r="D185" s="10" t="s">
        <v>452</v>
      </c>
      <c r="E185" s="11" t="s">
        <v>33</v>
      </c>
      <c r="F185" s="12">
        <v>45455</v>
      </c>
      <c r="G185" t="str">
        <f t="shared" si="2"/>
        <v>BEFORE</v>
      </c>
      <c r="H185" s="46">
        <f ca="1">AVERAGEIF($G$2:$G$245,"Before",'Preprocced Data'!N185)</f>
        <v>0.14071187404581331</v>
      </c>
      <c r="I185" s="46">
        <f ca="1">AVERAGEIF($G$2:$G$245,"During", 'Preprocced Data'!N185)</f>
        <v>0.21345199420784092</v>
      </c>
    </row>
    <row r="186" spans="4:9" x14ac:dyDescent="0.3">
      <c r="D186" s="7" t="s">
        <v>454</v>
      </c>
      <c r="E186" s="8" t="s">
        <v>33</v>
      </c>
      <c r="F186" s="9">
        <v>45474</v>
      </c>
      <c r="G186" t="str">
        <f t="shared" si="2"/>
        <v>DURING</v>
      </c>
      <c r="H186" s="46">
        <f ca="1">AVERAGEIF($G$2:$G$245,"Before",'Preprocced Data'!N186)</f>
        <v>0.15485406625072642</v>
      </c>
      <c r="I186" s="46">
        <f ca="1">AVERAGEIF($G$2:$G$245,"During", 'Preprocced Data'!N186)</f>
        <v>9.0903661428597307E-2</v>
      </c>
    </row>
    <row r="187" spans="4:9" x14ac:dyDescent="0.3">
      <c r="D187" s="10" t="s">
        <v>457</v>
      </c>
      <c r="E187" s="11" t="s">
        <v>43</v>
      </c>
      <c r="F187" s="12">
        <v>45488</v>
      </c>
      <c r="G187" t="str">
        <f t="shared" si="2"/>
        <v>DURING</v>
      </c>
      <c r="H187" s="46">
        <f ca="1">AVERAGEIF($G$2:$G$245,"Before",'Preprocced Data'!N187)</f>
        <v>0.1552132632403648</v>
      </c>
      <c r="I187" s="46">
        <f ca="1">AVERAGEIF($G$2:$G$245,"During", 'Preprocced Data'!N187)</f>
        <v>9.9905082792731761E-2</v>
      </c>
    </row>
    <row r="188" spans="4:9" x14ac:dyDescent="0.3">
      <c r="D188" s="7" t="s">
        <v>458</v>
      </c>
      <c r="E188" s="8" t="s">
        <v>33</v>
      </c>
      <c r="F188" s="9">
        <v>45778</v>
      </c>
      <c r="G188" t="str">
        <f t="shared" si="2"/>
        <v>BEFORE</v>
      </c>
      <c r="H188" s="46">
        <f ca="1">AVERAGEIF($G$2:$G$245,"Before",'Preprocced Data'!N188)</f>
        <v>0.15542279577333867</v>
      </c>
      <c r="I188" s="46">
        <f ca="1">AVERAGEIF($G$2:$G$245,"During", 'Preprocced Data'!N188)</f>
        <v>0.11103924846158918</v>
      </c>
    </row>
    <row r="189" spans="4:9" x14ac:dyDescent="0.3">
      <c r="D189" s="10" t="s">
        <v>459</v>
      </c>
      <c r="E189" s="11" t="s">
        <v>14</v>
      </c>
      <c r="F189" s="12">
        <v>45776</v>
      </c>
      <c r="G189" t="str">
        <f t="shared" si="2"/>
        <v>BEFORE</v>
      </c>
      <c r="H189" s="46">
        <f ca="1">AVERAGEIF($G$2:$G$245,"Before",'Preprocced Data'!N189)</f>
        <v>0.15421878611889225</v>
      </c>
      <c r="I189" s="46">
        <f ca="1">AVERAGEIF($G$2:$G$245,"During", 'Preprocced Data'!N189)</f>
        <v>0.13288808553089607</v>
      </c>
    </row>
    <row r="190" spans="4:9" x14ac:dyDescent="0.3">
      <c r="D190" s="7" t="s">
        <v>461</v>
      </c>
      <c r="E190" s="8" t="s">
        <v>43</v>
      </c>
      <c r="F190" s="9">
        <v>45724</v>
      </c>
      <c r="G190" t="str">
        <f t="shared" si="2"/>
        <v>BEFORE</v>
      </c>
      <c r="H190" s="46">
        <f ca="1">AVERAGEIF($G$2:$G$245,"Before",'Preprocced Data'!N190)</f>
        <v>0.14608484443589964</v>
      </c>
      <c r="I190" s="46">
        <f ca="1">AVERAGEIF($G$2:$G$245,"During", 'Preprocced Data'!N190)</f>
        <v>0.10689615226239635</v>
      </c>
    </row>
    <row r="191" spans="4:9" x14ac:dyDescent="0.3">
      <c r="D191" s="10" t="s">
        <v>464</v>
      </c>
      <c r="E191" s="11" t="s">
        <v>43</v>
      </c>
      <c r="F191" s="12">
        <v>45648</v>
      </c>
      <c r="G191" t="str">
        <f t="shared" si="2"/>
        <v>BEFORE</v>
      </c>
      <c r="H191" s="46">
        <f ca="1">AVERAGEIF($G$2:$G$245,"Before",'Preprocced Data'!N191)</f>
        <v>0.14496473457049452</v>
      </c>
      <c r="I191" s="46">
        <f ca="1">AVERAGEIF($G$2:$G$245,"During", 'Preprocced Data'!N191)</f>
        <v>0.12822966630638385</v>
      </c>
    </row>
    <row r="192" spans="4:9" x14ac:dyDescent="0.3">
      <c r="D192" s="7" t="s">
        <v>465</v>
      </c>
      <c r="E192" s="8" t="s">
        <v>43</v>
      </c>
      <c r="F192" s="9">
        <v>45523</v>
      </c>
      <c r="G192" t="str">
        <f t="shared" si="2"/>
        <v>BEFORE</v>
      </c>
      <c r="H192" s="46">
        <f ca="1">AVERAGEIF($G$2:$G$245,"Before",'Preprocced Data'!N192)</f>
        <v>0.1393047068410205</v>
      </c>
      <c r="I192" s="46">
        <f ca="1">AVERAGEIF($G$2:$G$245,"During", 'Preprocced Data'!N192)</f>
        <v>0.17627556213125475</v>
      </c>
    </row>
    <row r="193" spans="4:9" x14ac:dyDescent="0.3">
      <c r="D193" s="10" t="s">
        <v>467</v>
      </c>
      <c r="E193" s="11" t="s">
        <v>33</v>
      </c>
      <c r="F193" s="12">
        <v>45587</v>
      </c>
      <c r="G193" t="str">
        <f t="shared" si="2"/>
        <v>BEFORE</v>
      </c>
      <c r="H193" s="46">
        <f ca="1">AVERAGEIF($G$2:$G$245,"Before",'Preprocced Data'!N193)</f>
        <v>0.13904945246437192</v>
      </c>
      <c r="I193" s="46">
        <f ca="1">AVERAGEIF($G$2:$G$245,"During", 'Preprocced Data'!N193)</f>
        <v>0.17991997870738655</v>
      </c>
    </row>
    <row r="194" spans="4:9" x14ac:dyDescent="0.3">
      <c r="D194" s="7" t="s">
        <v>468</v>
      </c>
      <c r="E194" s="8" t="s">
        <v>14</v>
      </c>
      <c r="F194" s="9">
        <v>45489</v>
      </c>
      <c r="G194" t="str">
        <f t="shared" si="2"/>
        <v>BEFORE</v>
      </c>
      <c r="H194" s="46">
        <f ca="1">AVERAGEIF($G$2:$G$245,"Before",'Preprocced Data'!N194)</f>
        <v>0.14692165185327638</v>
      </c>
      <c r="I194" s="46">
        <f ca="1">AVERAGEIF($G$2:$G$245,"During", 'Preprocced Data'!N194)</f>
        <v>0.131535625637375</v>
      </c>
    </row>
    <row r="195" spans="4:9" x14ac:dyDescent="0.3">
      <c r="D195" s="10" t="s">
        <v>471</v>
      </c>
      <c r="E195" s="11" t="s">
        <v>14</v>
      </c>
      <c r="F195" s="12">
        <v>45530</v>
      </c>
      <c r="G195" t="str">
        <f t="shared" ref="G195:G245" si="3">IF(AND(F195&gt;=$B$2,F195&lt;=$C$2),"DURING","BEFORE")</f>
        <v>BEFORE</v>
      </c>
      <c r="H195" s="46">
        <f ca="1">AVERAGEIF($G$2:$G$245,"Before",'Preprocced Data'!N195)</f>
        <v>0.14164307911937288</v>
      </c>
      <c r="I195" s="46">
        <f ca="1">AVERAGEIF($G$2:$G$245,"During", 'Preprocced Data'!N195)</f>
        <v>0.1835153022706365</v>
      </c>
    </row>
    <row r="196" spans="4:9" x14ac:dyDescent="0.3">
      <c r="D196" s="7" t="s">
        <v>472</v>
      </c>
      <c r="E196" s="8" t="s">
        <v>43</v>
      </c>
      <c r="F196" s="9">
        <v>45675</v>
      </c>
      <c r="G196" t="str">
        <f t="shared" si="3"/>
        <v>BEFORE</v>
      </c>
      <c r="H196" s="46">
        <f ca="1">AVERAGEIF($G$2:$G$245,"Before",'Preprocced Data'!N196)</f>
        <v>0.14445050952407207</v>
      </c>
      <c r="I196" s="46">
        <f ca="1">AVERAGEIF($G$2:$G$245,"During", 'Preprocced Data'!N196)</f>
        <v>0.17215240822914857</v>
      </c>
    </row>
    <row r="197" spans="4:9" x14ac:dyDescent="0.3">
      <c r="D197" s="10" t="s">
        <v>474</v>
      </c>
      <c r="E197" s="11" t="s">
        <v>43</v>
      </c>
      <c r="F197" s="12">
        <v>45480</v>
      </c>
      <c r="G197" t="str">
        <f t="shared" si="3"/>
        <v>DURING</v>
      </c>
      <c r="H197" s="46">
        <f ca="1">AVERAGEIF($G$2:$G$245,"Before",'Preprocced Data'!N197)</f>
        <v>0.14100560837662601</v>
      </c>
      <c r="I197" s="46">
        <f ca="1">AVERAGEIF($G$2:$G$245,"During", 'Preprocced Data'!N197)</f>
        <v>0.19134277056187077</v>
      </c>
    </row>
    <row r="198" spans="4:9" x14ac:dyDescent="0.3">
      <c r="D198" s="7" t="s">
        <v>475</v>
      </c>
      <c r="E198" s="8" t="s">
        <v>14</v>
      </c>
      <c r="F198" s="9">
        <v>45722</v>
      </c>
      <c r="G198" t="str">
        <f t="shared" si="3"/>
        <v>BEFORE</v>
      </c>
      <c r="H198" s="46">
        <f ca="1">AVERAGEIF($G$2:$G$245,"Before",'Preprocced Data'!N198)</f>
        <v>0.15102800203008324</v>
      </c>
      <c r="I198" s="46">
        <f ca="1">AVERAGEIF($G$2:$G$245,"During", 'Preprocced Data'!N198)</f>
        <v>0.11382080982013081</v>
      </c>
    </row>
    <row r="199" spans="4:9" x14ac:dyDescent="0.3">
      <c r="D199" s="10" t="s">
        <v>477</v>
      </c>
      <c r="E199" s="11" t="s">
        <v>27</v>
      </c>
      <c r="F199" s="12">
        <v>45590</v>
      </c>
      <c r="G199" t="str">
        <f t="shared" si="3"/>
        <v>BEFORE</v>
      </c>
      <c r="H199" s="46">
        <f ca="1">AVERAGEIF($G$2:$G$245,"Before",'Preprocced Data'!N199)</f>
        <v>0.15135889027659574</v>
      </c>
      <c r="I199" s="46">
        <f ca="1">AVERAGEIF($G$2:$G$245,"During", 'Preprocced Data'!N199)</f>
        <v>0.1205641950290719</v>
      </c>
    </row>
    <row r="200" spans="4:9" x14ac:dyDescent="0.3">
      <c r="D200" s="7" t="s">
        <v>479</v>
      </c>
      <c r="E200" s="8" t="s">
        <v>43</v>
      </c>
      <c r="F200" s="9">
        <v>45669</v>
      </c>
      <c r="G200" t="str">
        <f t="shared" si="3"/>
        <v>BEFORE</v>
      </c>
      <c r="H200" s="46">
        <f ca="1">AVERAGEIF($G$2:$G$245,"Before",'Preprocced Data'!N200)</f>
        <v>0.15086836553503388</v>
      </c>
      <c r="I200" s="46">
        <f ca="1">AVERAGEIF($G$2:$G$245,"During", 'Preprocced Data'!N200)</f>
        <v>0.10594420004931099</v>
      </c>
    </row>
    <row r="201" spans="4:9" x14ac:dyDescent="0.3">
      <c r="D201" s="10" t="s">
        <v>481</v>
      </c>
      <c r="E201" s="11" t="s">
        <v>43</v>
      </c>
      <c r="F201" s="12">
        <v>45576</v>
      </c>
      <c r="G201" t="str">
        <f t="shared" si="3"/>
        <v>BEFORE</v>
      </c>
      <c r="H201" s="46">
        <f ca="1">AVERAGEIF($G$2:$G$245,"Before",'Preprocced Data'!N201)</f>
        <v>0.14588239513490353</v>
      </c>
      <c r="I201" s="46">
        <f ca="1">AVERAGEIF($G$2:$G$245,"During", 'Preprocced Data'!N201)</f>
        <v>0.14255539445518495</v>
      </c>
    </row>
    <row r="202" spans="4:9" x14ac:dyDescent="0.3">
      <c r="D202" s="7" t="s">
        <v>487</v>
      </c>
      <c r="E202" s="8" t="s">
        <v>14</v>
      </c>
      <c r="F202" s="9">
        <v>45491</v>
      </c>
      <c r="G202" t="str">
        <f t="shared" si="3"/>
        <v>BEFORE</v>
      </c>
      <c r="H202" s="46">
        <f ca="1">AVERAGEIF($G$2:$G$245,"Before",'Preprocced Data'!N202)</f>
        <v>0.14174960556232918</v>
      </c>
      <c r="I202" s="46">
        <f ca="1">AVERAGEIF($G$2:$G$245,"During", 'Preprocced Data'!N202)</f>
        <v>0.15665513214824581</v>
      </c>
    </row>
    <row r="203" spans="4:9" x14ac:dyDescent="0.3">
      <c r="D203" s="10" t="s">
        <v>491</v>
      </c>
      <c r="E203" s="11" t="s">
        <v>43</v>
      </c>
      <c r="F203" s="12">
        <v>45775</v>
      </c>
      <c r="G203" t="str">
        <f t="shared" si="3"/>
        <v>BEFORE</v>
      </c>
      <c r="H203" s="46">
        <f ca="1">AVERAGEIF($G$2:$G$245,"Before",'Preprocced Data'!N203)</f>
        <v>0.14520503630334497</v>
      </c>
      <c r="I203" s="46">
        <f ca="1">AVERAGEIF($G$2:$G$245,"During", 'Preprocced Data'!N203)</f>
        <v>0.14119709146561665</v>
      </c>
    </row>
    <row r="204" spans="4:9" x14ac:dyDescent="0.3">
      <c r="D204" s="7" t="s">
        <v>494</v>
      </c>
      <c r="E204" s="8" t="s">
        <v>14</v>
      </c>
      <c r="F204" s="9">
        <v>45671</v>
      </c>
      <c r="G204" t="str">
        <f t="shared" si="3"/>
        <v>BEFORE</v>
      </c>
      <c r="H204" s="46">
        <f ca="1">AVERAGEIF($G$2:$G$245,"Before",'Preprocced Data'!N204)</f>
        <v>0.14897385403505692</v>
      </c>
      <c r="I204" s="46">
        <f ca="1">AVERAGEIF($G$2:$G$245,"During", 'Preprocced Data'!N204)</f>
        <v>0.11082658805733303</v>
      </c>
    </row>
    <row r="205" spans="4:9" x14ac:dyDescent="0.3">
      <c r="D205" s="10" t="s">
        <v>496</v>
      </c>
      <c r="E205" s="11" t="s">
        <v>43</v>
      </c>
      <c r="F205" s="12">
        <v>45750</v>
      </c>
      <c r="G205" t="str">
        <f t="shared" si="3"/>
        <v>BEFORE</v>
      </c>
      <c r="H205" s="46">
        <f ca="1">AVERAGEIF($G$2:$G$245,"Before",'Preprocced Data'!N205)</f>
        <v>0.14174842031119309</v>
      </c>
      <c r="I205" s="46">
        <f ca="1">AVERAGEIF($G$2:$G$245,"During", 'Preprocced Data'!N205)</f>
        <v>0.17204058096985822</v>
      </c>
    </row>
    <row r="206" spans="4:9" x14ac:dyDescent="0.3">
      <c r="D206" s="7" t="s">
        <v>497</v>
      </c>
      <c r="E206" s="8" t="s">
        <v>27</v>
      </c>
      <c r="F206" s="9">
        <v>45553</v>
      </c>
      <c r="G206" t="str">
        <f t="shared" si="3"/>
        <v>BEFORE</v>
      </c>
      <c r="H206" s="46">
        <f ca="1">AVERAGEIF($G$2:$G$245,"Before",'Preprocced Data'!N206)</f>
        <v>0.13208128515685752</v>
      </c>
      <c r="I206" s="46">
        <f ca="1">AVERAGEIF($G$2:$G$245,"During", 'Preprocced Data'!N206)</f>
        <v>0.26449119364984336</v>
      </c>
    </row>
    <row r="207" spans="4:9" x14ac:dyDescent="0.3">
      <c r="D207" s="10" t="s">
        <v>498</v>
      </c>
      <c r="E207" s="11" t="s">
        <v>43</v>
      </c>
      <c r="F207" s="12">
        <v>45753</v>
      </c>
      <c r="G207" t="str">
        <f t="shared" si="3"/>
        <v>BEFORE</v>
      </c>
      <c r="H207" s="46">
        <f ca="1">AVERAGEIF($G$2:$G$245,"Before",'Preprocced Data'!N207)</f>
        <v>0.13382396026502438</v>
      </c>
      <c r="I207" s="46">
        <f ca="1">AVERAGEIF($G$2:$G$245,"During", 'Preprocced Data'!N207)</f>
        <v>0.26777898563144009</v>
      </c>
    </row>
    <row r="208" spans="4:9" x14ac:dyDescent="0.3">
      <c r="D208" s="7" t="s">
        <v>500</v>
      </c>
      <c r="E208" s="8" t="s">
        <v>33</v>
      </c>
      <c r="F208" s="9">
        <v>45509</v>
      </c>
      <c r="G208" t="str">
        <f t="shared" si="3"/>
        <v>BEFORE</v>
      </c>
      <c r="H208" s="46">
        <f ca="1">AVERAGEIF($G$2:$G$245,"Before",'Preprocced Data'!N208)</f>
        <v>0.14132257629602729</v>
      </c>
      <c r="I208" s="46">
        <f ca="1">AVERAGEIF($G$2:$G$245,"During", 'Preprocced Data'!N208)</f>
        <v>0.21751797729824923</v>
      </c>
    </row>
    <row r="209" spans="4:9" x14ac:dyDescent="0.3">
      <c r="D209" s="10" t="s">
        <v>502</v>
      </c>
      <c r="E209" s="11" t="s">
        <v>43</v>
      </c>
      <c r="F209" s="12">
        <v>45698</v>
      </c>
      <c r="G209" t="str">
        <f t="shared" si="3"/>
        <v>BEFORE</v>
      </c>
      <c r="H209" s="46">
        <f ca="1">AVERAGEIF($G$2:$G$245,"Before",'Preprocced Data'!N209)</f>
        <v>0.14068983628501947</v>
      </c>
      <c r="I209" s="46">
        <f ca="1">AVERAGEIF($G$2:$G$245,"During", 'Preprocced Data'!N209)</f>
        <v>0.20749249763774438</v>
      </c>
    </row>
    <row r="210" spans="4:9" x14ac:dyDescent="0.3">
      <c r="D210" s="7" t="s">
        <v>503</v>
      </c>
      <c r="E210" s="8" t="s">
        <v>33</v>
      </c>
      <c r="F210" s="9">
        <v>45700</v>
      </c>
      <c r="G210" t="str">
        <f t="shared" si="3"/>
        <v>BEFORE</v>
      </c>
      <c r="H210" s="46">
        <f ca="1">AVERAGEIF($G$2:$G$245,"Before",'Preprocced Data'!N210)</f>
        <v>0.14364567060148312</v>
      </c>
      <c r="I210" s="46">
        <f ca="1">AVERAGEIF($G$2:$G$245,"During", 'Preprocced Data'!N210)</f>
        <v>0.15459064279413459</v>
      </c>
    </row>
    <row r="211" spans="4:9" x14ac:dyDescent="0.3">
      <c r="D211" s="10" t="s">
        <v>506</v>
      </c>
      <c r="E211" s="11" t="s">
        <v>33</v>
      </c>
      <c r="F211" s="12">
        <v>45592</v>
      </c>
      <c r="G211" t="str">
        <f t="shared" si="3"/>
        <v>BEFORE</v>
      </c>
      <c r="H211" s="46">
        <f ca="1">AVERAGEIF($G$2:$G$245,"Before",'Preprocced Data'!N211)</f>
        <v>0.15014354882698802</v>
      </c>
      <c r="I211" s="46">
        <f ca="1">AVERAGEIF($G$2:$G$245,"During", 'Preprocced Data'!N211)</f>
        <v>0.11820543534049091</v>
      </c>
    </row>
    <row r="212" spans="4:9" x14ac:dyDescent="0.3">
      <c r="D212" s="7" t="s">
        <v>509</v>
      </c>
      <c r="E212" s="8" t="s">
        <v>33</v>
      </c>
      <c r="F212" s="9">
        <v>45524</v>
      </c>
      <c r="G212" t="str">
        <f t="shared" si="3"/>
        <v>BEFORE</v>
      </c>
      <c r="H212" s="46">
        <f ca="1">AVERAGEIF($G$2:$G$245,"Before",'Preprocced Data'!N212)</f>
        <v>0.1541130458193096</v>
      </c>
      <c r="I212" s="46">
        <f ca="1">AVERAGEIF($G$2:$G$245,"During", 'Preprocced Data'!N212)</f>
        <v>0.10526125521197618</v>
      </c>
    </row>
    <row r="213" spans="4:9" x14ac:dyDescent="0.3">
      <c r="D213" s="10" t="s">
        <v>511</v>
      </c>
      <c r="E213" s="11" t="s">
        <v>14</v>
      </c>
      <c r="F213" s="12">
        <v>45687</v>
      </c>
      <c r="G213" t="str">
        <f t="shared" si="3"/>
        <v>BEFORE</v>
      </c>
      <c r="H213" s="46">
        <f ca="1">AVERAGEIF($G$2:$G$245,"Before",'Preprocced Data'!N213)</f>
        <v>0.14130922266223558</v>
      </c>
      <c r="I213" s="46">
        <f ca="1">AVERAGEIF($G$2:$G$245,"During", 'Preprocced Data'!N213)</f>
        <v>0.16942553267314717</v>
      </c>
    </row>
    <row r="214" spans="4:9" x14ac:dyDescent="0.3">
      <c r="D214" s="7" t="s">
        <v>513</v>
      </c>
      <c r="E214" s="8" t="s">
        <v>14</v>
      </c>
      <c r="F214" s="9">
        <v>45708</v>
      </c>
      <c r="G214" t="str">
        <f t="shared" si="3"/>
        <v>BEFORE</v>
      </c>
      <c r="H214" s="46">
        <f ca="1">AVERAGEIF($G$2:$G$245,"Before",'Preprocced Data'!N214)</f>
        <v>0.13844716662652373</v>
      </c>
      <c r="I214" s="46">
        <f ca="1">AVERAGEIF($G$2:$G$245,"During", 'Preprocced Data'!N214)</f>
        <v>9.1312654317502379E-2</v>
      </c>
    </row>
    <row r="215" spans="4:9" x14ac:dyDescent="0.3">
      <c r="D215" s="10" t="s">
        <v>515</v>
      </c>
      <c r="E215" s="11" t="s">
        <v>43</v>
      </c>
      <c r="F215" s="12">
        <v>45621</v>
      </c>
      <c r="G215" t="str">
        <f t="shared" si="3"/>
        <v>BEFORE</v>
      </c>
      <c r="H215" s="46">
        <f ca="1">AVERAGEIF($G$2:$G$245,"Before",'Preprocced Data'!N215)</f>
        <v>0.12929647423286453</v>
      </c>
      <c r="I215" s="46">
        <f ca="1">AVERAGEIF($G$2:$G$245,"During", 'Preprocced Data'!N215)</f>
        <v>0.12449236550240403</v>
      </c>
    </row>
    <row r="216" spans="4:9" x14ac:dyDescent="0.3">
      <c r="D216" s="7" t="s">
        <v>517</v>
      </c>
      <c r="E216" s="8" t="s">
        <v>33</v>
      </c>
      <c r="F216" s="9">
        <v>45760</v>
      </c>
      <c r="G216" t="str">
        <f t="shared" si="3"/>
        <v>BEFORE</v>
      </c>
      <c r="H216" s="46">
        <f ca="1">AVERAGEIF($G$2:$G$245,"Before",'Preprocced Data'!N216)</f>
        <v>0.12710228506617263</v>
      </c>
      <c r="I216" s="46">
        <f ca="1">AVERAGEIF($G$2:$G$245,"During", 'Preprocced Data'!N216)</f>
        <v>0.14586151294269867</v>
      </c>
    </row>
    <row r="217" spans="4:9" x14ac:dyDescent="0.3">
      <c r="D217" s="10" t="s">
        <v>519</v>
      </c>
      <c r="E217" s="11" t="s">
        <v>33</v>
      </c>
      <c r="F217" s="12">
        <v>45601</v>
      </c>
      <c r="G217" t="str">
        <f t="shared" si="3"/>
        <v>BEFORE</v>
      </c>
      <c r="H217" s="46">
        <f ca="1">AVERAGEIF($G$2:$G$245,"Before",'Preprocced Data'!N217)</f>
        <v>0.121437986659183</v>
      </c>
      <c r="I217" s="46">
        <f ca="1">AVERAGEIF($G$2:$G$245,"During", 'Preprocced Data'!N217)</f>
        <v>0.1920232756930299</v>
      </c>
    </row>
    <row r="218" spans="4:9" x14ac:dyDescent="0.3">
      <c r="D218" s="7" t="s">
        <v>521</v>
      </c>
      <c r="E218" s="8" t="s">
        <v>27</v>
      </c>
      <c r="F218" s="9">
        <v>45672</v>
      </c>
      <c r="G218" t="str">
        <f t="shared" si="3"/>
        <v>BEFORE</v>
      </c>
      <c r="H218" s="46">
        <f ca="1">AVERAGEIF($G$2:$G$245,"Before",'Preprocced Data'!N218)</f>
        <v>0.12443296482622239</v>
      </c>
      <c r="I218" s="46">
        <f ca="1">AVERAGEIF($G$2:$G$245,"During", 'Preprocced Data'!N218)</f>
        <v>0.14901934931042377</v>
      </c>
    </row>
    <row r="219" spans="4:9" x14ac:dyDescent="0.3">
      <c r="D219" s="10" t="s">
        <v>522</v>
      </c>
      <c r="E219" s="11" t="s">
        <v>33</v>
      </c>
      <c r="F219" s="12">
        <v>45582</v>
      </c>
      <c r="G219" t="str">
        <f t="shared" si="3"/>
        <v>BEFORE</v>
      </c>
      <c r="H219" s="46">
        <f ca="1">AVERAGEIF($G$2:$G$245,"Before",'Preprocced Data'!N219)</f>
        <v>0.12630938636108507</v>
      </c>
      <c r="I219" s="46">
        <f ca="1">AVERAGEIF($G$2:$G$245,"During", 'Preprocced Data'!N219)</f>
        <v>0.15256219954790484</v>
      </c>
    </row>
    <row r="220" spans="4:9" x14ac:dyDescent="0.3">
      <c r="D220" s="7" t="s">
        <v>524</v>
      </c>
      <c r="E220" s="8" t="s">
        <v>33</v>
      </c>
      <c r="F220" s="9">
        <v>45743</v>
      </c>
      <c r="G220" t="str">
        <f t="shared" si="3"/>
        <v>BEFORE</v>
      </c>
      <c r="H220" s="46">
        <f ca="1">AVERAGEIF($G$2:$G$245,"Before",'Preprocced Data'!N220)</f>
        <v>0.13018155211099727</v>
      </c>
      <c r="I220" s="46">
        <f ca="1">AVERAGEIF($G$2:$G$245,"During", 'Preprocced Data'!N220)</f>
        <v>0.11115265782368211</v>
      </c>
    </row>
    <row r="221" spans="4:9" x14ac:dyDescent="0.3">
      <c r="D221" s="10" t="s">
        <v>525</v>
      </c>
      <c r="E221" s="11" t="s">
        <v>27</v>
      </c>
      <c r="F221" s="12">
        <v>45577</v>
      </c>
      <c r="G221" t="str">
        <f t="shared" si="3"/>
        <v>BEFORE</v>
      </c>
      <c r="H221" s="46">
        <f ca="1">AVERAGEIF($G$2:$G$245,"Before",'Preprocced Data'!N221)</f>
        <v>0.12625119815825109</v>
      </c>
      <c r="I221" s="46">
        <f ca="1">AVERAGEIF($G$2:$G$245,"During", 'Preprocced Data'!N221)</f>
        <v>0.12878165526708105</v>
      </c>
    </row>
    <row r="222" spans="4:9" x14ac:dyDescent="0.3">
      <c r="D222" s="7" t="s">
        <v>527</v>
      </c>
      <c r="E222" s="8" t="s">
        <v>14</v>
      </c>
      <c r="F222" s="9">
        <v>45658</v>
      </c>
      <c r="G222" t="str">
        <f t="shared" si="3"/>
        <v>BEFORE</v>
      </c>
      <c r="H222" s="46">
        <f ca="1">AVERAGEIF($G$2:$G$245,"Before",'Preprocced Data'!N222)</f>
        <v>0.13143417168441493</v>
      </c>
      <c r="I222" s="46">
        <f ca="1">AVERAGEIF($G$2:$G$245,"During", 'Preprocced Data'!N222)</f>
        <v>0.11000447918850847</v>
      </c>
    </row>
    <row r="223" spans="4:9" x14ac:dyDescent="0.3">
      <c r="D223" s="10" t="s">
        <v>528</v>
      </c>
      <c r="E223" s="11" t="s">
        <v>43</v>
      </c>
      <c r="F223" s="12">
        <v>45509</v>
      </c>
      <c r="G223" t="str">
        <f t="shared" si="3"/>
        <v>BEFORE</v>
      </c>
      <c r="H223" s="46">
        <f ca="1">AVERAGEIF($G$2:$G$245,"Before",'Preprocced Data'!N223)</f>
        <v>0.13653854045710834</v>
      </c>
      <c r="I223" s="46">
        <f ca="1">AVERAGEIF($G$2:$G$245,"During", 'Preprocced Data'!N223)</f>
        <v>9.8904870627908772E-2</v>
      </c>
    </row>
    <row r="224" spans="4:9" x14ac:dyDescent="0.3">
      <c r="D224" s="7" t="s">
        <v>529</v>
      </c>
      <c r="E224" s="8" t="s">
        <v>14</v>
      </c>
      <c r="F224" s="9">
        <v>45450</v>
      </c>
      <c r="G224" t="str">
        <f t="shared" si="3"/>
        <v>BEFORE</v>
      </c>
      <c r="H224" s="46">
        <f ca="1">AVERAGEIF($G$2:$G$245,"Before",'Preprocced Data'!N224)</f>
        <v>0.13967963067391725</v>
      </c>
      <c r="I224" s="46">
        <f ca="1">AVERAGEIF($G$2:$G$245,"During", 'Preprocced Data'!N224)</f>
        <v>7.7017753126683602E-2</v>
      </c>
    </row>
    <row r="225" spans="4:9" x14ac:dyDescent="0.3">
      <c r="D225" s="10" t="s">
        <v>531</v>
      </c>
      <c r="E225" s="11" t="s">
        <v>43</v>
      </c>
      <c r="F225" s="12">
        <v>45753</v>
      </c>
      <c r="G225" t="str">
        <f t="shared" si="3"/>
        <v>BEFORE</v>
      </c>
      <c r="H225" s="46">
        <f ca="1">AVERAGEIF($G$2:$G$245,"Before",'Preprocced Data'!N225)</f>
        <v>0.12595337657907238</v>
      </c>
      <c r="I225" s="46">
        <f ca="1">AVERAGEIF($G$2:$G$245,"During", 'Preprocced Data'!N225)</f>
        <v>0.1198779253597789</v>
      </c>
    </row>
    <row r="226" spans="4:9" x14ac:dyDescent="0.3">
      <c r="D226" s="7" t="s">
        <v>532</v>
      </c>
      <c r="E226" s="8" t="s">
        <v>14</v>
      </c>
      <c r="F226" s="9">
        <v>45622</v>
      </c>
      <c r="G226" t="str">
        <f t="shared" si="3"/>
        <v>BEFORE</v>
      </c>
      <c r="H226" s="46">
        <f ca="1">AVERAGEIF($G$2:$G$245,"Before",'Preprocced Data'!N226)</f>
        <v>0.11861533882227246</v>
      </c>
      <c r="I226" s="46">
        <f ca="1">AVERAGEIF($G$2:$G$245,"During", 'Preprocced Data'!N226)</f>
        <v>0.11880859994628866</v>
      </c>
    </row>
    <row r="227" spans="4:9" x14ac:dyDescent="0.3">
      <c r="D227" s="10" t="s">
        <v>534</v>
      </c>
      <c r="E227" s="11" t="s">
        <v>27</v>
      </c>
      <c r="F227" s="12">
        <v>45537</v>
      </c>
      <c r="G227" t="str">
        <f t="shared" si="3"/>
        <v>BEFORE</v>
      </c>
      <c r="H227" s="46">
        <f ca="1">AVERAGEIF($G$2:$G$245,"Before",'Preprocced Data'!N227)</f>
        <v>0.10461237580719279</v>
      </c>
      <c r="I227" s="46">
        <f ca="1">AVERAGEIF($G$2:$G$245,"During", 'Preprocced Data'!N227)</f>
        <v>0.17318849885316348</v>
      </c>
    </row>
    <row r="228" spans="4:9" x14ac:dyDescent="0.3">
      <c r="D228" s="7" t="s">
        <v>535</v>
      </c>
      <c r="E228" s="8" t="s">
        <v>27</v>
      </c>
      <c r="F228" s="9">
        <v>45586</v>
      </c>
      <c r="G228" t="str">
        <f t="shared" si="3"/>
        <v>BEFORE</v>
      </c>
      <c r="H228" s="46">
        <f ca="1">AVERAGEIF($G$2:$G$245,"Before",'Preprocced Data'!N228)</f>
        <v>0.11675344492686042</v>
      </c>
      <c r="I228" s="46">
        <f ca="1">AVERAGEIF($G$2:$G$245,"During", 'Preprocced Data'!N228)</f>
        <v>0.1418656898259823</v>
      </c>
    </row>
    <row r="229" spans="4:9" x14ac:dyDescent="0.3">
      <c r="D229" s="10" t="s">
        <v>536</v>
      </c>
      <c r="E229" s="11" t="s">
        <v>27</v>
      </c>
      <c r="F229" s="12">
        <v>45738</v>
      </c>
      <c r="G229" t="str">
        <f t="shared" si="3"/>
        <v>BEFORE</v>
      </c>
      <c r="H229" s="46">
        <f ca="1">AVERAGEIF($G$2:$G$245,"Before",'Preprocced Data'!N229)</f>
        <v>0.12656891919203384</v>
      </c>
      <c r="I229" s="46">
        <f ca="1">AVERAGEIF($G$2:$G$245,"During", 'Preprocced Data'!N229)</f>
        <v>0.1155904219301106</v>
      </c>
    </row>
    <row r="230" spans="4:9" x14ac:dyDescent="0.3">
      <c r="D230" s="7" t="s">
        <v>538</v>
      </c>
      <c r="E230" s="8" t="s">
        <v>33</v>
      </c>
      <c r="F230" s="9">
        <v>45568</v>
      </c>
      <c r="G230" t="str">
        <f t="shared" si="3"/>
        <v>BEFORE</v>
      </c>
      <c r="H230" s="46">
        <f ca="1">AVERAGEIF($G$2:$G$245,"Before",'Preprocced Data'!N230)</f>
        <v>0.12295992939589875</v>
      </c>
      <c r="I230" s="46">
        <f ca="1">AVERAGEIF($G$2:$G$245,"During", 'Preprocced Data'!N230)</f>
        <v>0.1523795003527231</v>
      </c>
    </row>
    <row r="231" spans="4:9" x14ac:dyDescent="0.3">
      <c r="D231" s="10" t="s">
        <v>540</v>
      </c>
      <c r="E231" s="11" t="s">
        <v>14</v>
      </c>
      <c r="F231" s="12">
        <v>45786</v>
      </c>
      <c r="G231" t="str">
        <f t="shared" si="3"/>
        <v>BEFORE</v>
      </c>
      <c r="H231" s="46">
        <f ca="1">AVERAGEIF($G$2:$G$245,"Before",'Preprocced Data'!N231)</f>
        <v>0.14035074487779475</v>
      </c>
      <c r="I231" s="46">
        <f ca="1">AVERAGEIF($G$2:$G$245,"During", 'Preprocced Data'!N231)</f>
        <v>8.8081210754789377E-2</v>
      </c>
    </row>
    <row r="232" spans="4:9" x14ac:dyDescent="0.3">
      <c r="D232" s="7" t="s">
        <v>542</v>
      </c>
      <c r="E232" s="8" t="s">
        <v>14</v>
      </c>
      <c r="F232" s="9">
        <v>45552</v>
      </c>
      <c r="G232" t="str">
        <f t="shared" si="3"/>
        <v>BEFORE</v>
      </c>
      <c r="H232" s="46">
        <f ca="1">AVERAGEIF($G$2:$G$245,"Before",'Preprocced Data'!N232)</f>
        <v>0.13631992223496561</v>
      </c>
      <c r="I232" s="46">
        <f ca="1">AVERAGEIF($G$2:$G$245,"During", 'Preprocced Data'!N232)</f>
        <v>0.13023003493735563</v>
      </c>
    </row>
    <row r="233" spans="4:9" x14ac:dyDescent="0.3">
      <c r="D233" s="10" t="s">
        <v>544</v>
      </c>
      <c r="E233" s="11" t="s">
        <v>27</v>
      </c>
      <c r="F233" s="12">
        <v>45560</v>
      </c>
      <c r="G233" t="str">
        <f t="shared" si="3"/>
        <v>BEFORE</v>
      </c>
      <c r="H233" s="46">
        <f ca="1">AVERAGEIF($G$2:$G$245,"Before",'Preprocced Data'!N233)</f>
        <v>0.13557015902144842</v>
      </c>
      <c r="I233" s="46">
        <f ca="1">AVERAGEIF($G$2:$G$245,"During", 'Preprocced Data'!N233)</f>
        <v>0.1399493783757996</v>
      </c>
    </row>
    <row r="234" spans="4:9" x14ac:dyDescent="0.3">
      <c r="D234" s="7" t="s">
        <v>546</v>
      </c>
      <c r="E234" s="8" t="s">
        <v>33</v>
      </c>
      <c r="F234" s="9">
        <v>45519</v>
      </c>
      <c r="G234" t="str">
        <f t="shared" si="3"/>
        <v>BEFORE</v>
      </c>
      <c r="H234" s="46">
        <f ca="1">AVERAGEIF($G$2:$G$245,"Before",'Preprocced Data'!N234)</f>
        <v>0.13684719050543681</v>
      </c>
      <c r="I234" s="46">
        <f ca="1">AVERAGEIF($G$2:$G$245,"During", 'Preprocced Data'!N234)</f>
        <v>0.11635964672410552</v>
      </c>
    </row>
    <row r="235" spans="4:9" x14ac:dyDescent="0.3">
      <c r="D235" s="10" t="s">
        <v>547</v>
      </c>
      <c r="E235" s="11" t="s">
        <v>27</v>
      </c>
      <c r="F235" s="12">
        <v>45764</v>
      </c>
      <c r="G235" t="str">
        <f t="shared" si="3"/>
        <v>BEFORE</v>
      </c>
      <c r="H235" s="46">
        <f ca="1">AVERAGEIF($G$2:$G$245,"Before",'Preprocced Data'!N235)</f>
        <v>9.9260147368406743E-2</v>
      </c>
      <c r="I235" s="46">
        <f ca="1">AVERAGEIF($G$2:$G$245,"During", 'Preprocced Data'!N235)</f>
        <v>0.16178748428816206</v>
      </c>
    </row>
    <row r="236" spans="4:9" x14ac:dyDescent="0.3">
      <c r="D236" s="7" t="s">
        <v>550</v>
      </c>
      <c r="E236" s="8" t="s">
        <v>33</v>
      </c>
      <c r="F236" s="9">
        <v>45646</v>
      </c>
      <c r="G236" t="str">
        <f t="shared" si="3"/>
        <v>BEFORE</v>
      </c>
      <c r="H236" s="46">
        <f ca="1">AVERAGEIF($G$2:$G$245,"Before",'Preprocced Data'!N236)</f>
        <v>0.10628271507276342</v>
      </c>
      <c r="I236" s="46">
        <f ca="1">AVERAGEIF($G$2:$G$245,"During", 'Preprocced Data'!N236)</f>
        <v>0.15582045733402358</v>
      </c>
    </row>
    <row r="237" spans="4:9" x14ac:dyDescent="0.3">
      <c r="D237" s="10" t="s">
        <v>552</v>
      </c>
      <c r="E237" s="11" t="s">
        <v>43</v>
      </c>
      <c r="F237" s="12">
        <v>45602</v>
      </c>
      <c r="G237" t="str">
        <f t="shared" si="3"/>
        <v>BEFORE</v>
      </c>
      <c r="H237" s="46">
        <f ca="1">AVERAGEIF($G$2:$G$245,"Before",'Preprocced Data'!N237)</f>
        <v>0.14519370642676374</v>
      </c>
      <c r="I237" s="46">
        <f ca="1">AVERAGEIF($G$2:$G$245,"During", 'Preprocced Data'!N237)</f>
        <v>8.5452066027153759E-2</v>
      </c>
    </row>
    <row r="238" spans="4:9" x14ac:dyDescent="0.3">
      <c r="D238" s="7" t="s">
        <v>555</v>
      </c>
      <c r="E238" s="8" t="s">
        <v>43</v>
      </c>
      <c r="F238" s="9">
        <v>45791</v>
      </c>
      <c r="G238" t="str">
        <f t="shared" si="3"/>
        <v>BEFORE</v>
      </c>
      <c r="H238" s="46">
        <f ca="1">AVERAGEIF($G$2:$G$245,"Before",'Preprocced Data'!N238)</f>
        <v>0.11802541122660522</v>
      </c>
      <c r="I238" s="46">
        <f ca="1">AVERAGEIF($G$2:$G$245,"During", 'Preprocced Data'!N238)</f>
        <v>0.15514494774324222</v>
      </c>
    </row>
    <row r="239" spans="4:9" x14ac:dyDescent="0.3">
      <c r="D239" s="10" t="s">
        <v>557</v>
      </c>
      <c r="E239" s="11" t="s">
        <v>43</v>
      </c>
      <c r="F239" s="12">
        <v>45462</v>
      </c>
      <c r="G239" t="str">
        <f t="shared" si="3"/>
        <v>DURING</v>
      </c>
      <c r="H239" s="46">
        <f ca="1">AVERAGEIF($G$2:$G$245,"Before",'Preprocced Data'!N239)</f>
        <v>0.15783486158718898</v>
      </c>
      <c r="I239" s="46">
        <f ca="1">AVERAGEIF($G$2:$G$245,"During", 'Preprocced Data'!N239)</f>
        <v>7.1051875371028E-2</v>
      </c>
    </row>
    <row r="240" spans="4:9" x14ac:dyDescent="0.3">
      <c r="D240" s="7" t="s">
        <v>559</v>
      </c>
      <c r="E240" s="8" t="s">
        <v>14</v>
      </c>
      <c r="F240" s="9">
        <v>45783</v>
      </c>
      <c r="G240" t="str">
        <f t="shared" si="3"/>
        <v>BEFORE</v>
      </c>
      <c r="H240" s="46">
        <f ca="1">AVERAGEIF($G$2:$G$245,"Before",'Preprocced Data'!N240)</f>
        <v>0.12207783098775241</v>
      </c>
      <c r="I240" s="46">
        <f ca="1">AVERAGEIF($G$2:$G$245,"During", 'Preprocced Data'!N240)</f>
        <v>0.13840458048129492</v>
      </c>
    </row>
    <row r="241" spans="4:9" x14ac:dyDescent="0.3">
      <c r="D241" s="10" t="s">
        <v>560</v>
      </c>
      <c r="E241" s="11" t="s">
        <v>14</v>
      </c>
      <c r="F241" s="12">
        <v>45699</v>
      </c>
      <c r="G241" t="str">
        <f t="shared" si="3"/>
        <v>BEFORE</v>
      </c>
      <c r="H241" s="46">
        <f ca="1">AVERAGEIF($G$2:$G$245,"Before",'Preprocced Data'!N241)</f>
        <v>0.12496162569765062</v>
      </c>
      <c r="I241" s="46">
        <f ca="1">AVERAGEIF($G$2:$G$245,"During", 'Preprocced Data'!N241)</f>
        <v>8.3539958039290485E-2</v>
      </c>
    </row>
    <row r="242" spans="4:9" x14ac:dyDescent="0.3">
      <c r="D242" s="7" t="s">
        <v>562</v>
      </c>
      <c r="E242" s="8" t="s">
        <v>14</v>
      </c>
      <c r="F242" s="9">
        <v>45650</v>
      </c>
      <c r="G242" t="str">
        <f t="shared" si="3"/>
        <v>BEFORE</v>
      </c>
      <c r="H242" s="46">
        <f ca="1">AVERAGEIF($G$2:$G$245,"Before",'Preprocced Data'!N242)</f>
        <v>0.13099965898312305</v>
      </c>
      <c r="I242" s="46" t="e">
        <f ca="1">AVERAGEIF($G$2:$G$245,"During", 'Preprocced Data'!N242)</f>
        <v>#DIV/0!</v>
      </c>
    </row>
    <row r="243" spans="4:9" x14ac:dyDescent="0.3">
      <c r="D243" s="10" t="s">
        <v>564</v>
      </c>
      <c r="E243" s="11" t="s">
        <v>43</v>
      </c>
      <c r="F243" s="12">
        <v>45589</v>
      </c>
      <c r="G243" t="str">
        <f t="shared" si="3"/>
        <v>BEFORE</v>
      </c>
      <c r="H243" s="46">
        <f ca="1">AVERAGEIF($G$2:$G$245,"Before",'Preprocced Data'!N243)</f>
        <v>9.3502777074450316E-2</v>
      </c>
      <c r="I243" s="46" t="e">
        <f ca="1">AVERAGEIF($G$2:$G$245,"During", 'Preprocced Data'!N243)</f>
        <v>#DIV/0!</v>
      </c>
    </row>
    <row r="244" spans="4:9" x14ac:dyDescent="0.3">
      <c r="D244" s="7" t="s">
        <v>565</v>
      </c>
      <c r="E244" s="8" t="s">
        <v>43</v>
      </c>
      <c r="F244" s="9">
        <v>45530</v>
      </c>
      <c r="G244" t="str">
        <f t="shared" si="3"/>
        <v>BEFORE</v>
      </c>
      <c r="H244" s="46">
        <f ca="1">AVERAGEIF($G$2:$G$245,"Before",'Preprocced Data'!N244)</f>
        <v>0.1109722692602927</v>
      </c>
      <c r="I244" s="46" t="e">
        <f ca="1">AVERAGEIF($G$2:$G$245,"During", 'Preprocced Data'!N244)</f>
        <v>#DIV/0!</v>
      </c>
    </row>
    <row r="245" spans="4:9" x14ac:dyDescent="0.3">
      <c r="D245" s="13" t="s">
        <v>566</v>
      </c>
      <c r="E245" s="3" t="s">
        <v>14</v>
      </c>
      <c r="F245" s="14">
        <v>45535</v>
      </c>
      <c r="G245" t="str">
        <f t="shared" si="3"/>
        <v>BEFORE</v>
      </c>
      <c r="H245" s="46">
        <f ca="1">AVERAGEIF($G$2:$G$245,"Before",'Preprocced Data'!N245)</f>
        <v>8.3539958039290485E-2</v>
      </c>
      <c r="I245" s="46" t="e">
        <f ca="1">AVERAGEIF($G$2:$G$245,"During", 'Preprocced Data'!N245)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30D5-DE1E-4783-8CA3-17E1DB2179D5}">
  <dimension ref="A3:E10"/>
  <sheetViews>
    <sheetView workbookViewId="0">
      <selection activeCell="K26" sqref="K26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</cols>
  <sheetData>
    <row r="3" spans="1:5" x14ac:dyDescent="0.3">
      <c r="A3" s="16" t="s">
        <v>632</v>
      </c>
      <c r="B3" s="16" t="s">
        <v>630</v>
      </c>
    </row>
    <row r="4" spans="1:5" x14ac:dyDescent="0.3">
      <c r="A4" s="16" t="s">
        <v>613</v>
      </c>
      <c r="B4" t="s">
        <v>43</v>
      </c>
      <c r="C4" t="s">
        <v>33</v>
      </c>
      <c r="D4" t="s">
        <v>14</v>
      </c>
      <c r="E4" t="s">
        <v>27</v>
      </c>
    </row>
    <row r="5" spans="1:5" x14ac:dyDescent="0.3">
      <c r="A5" s="17" t="s">
        <v>45</v>
      </c>
      <c r="B5">
        <v>12</v>
      </c>
      <c r="C5">
        <v>12</v>
      </c>
      <c r="D5">
        <v>14</v>
      </c>
      <c r="E5">
        <v>10</v>
      </c>
    </row>
    <row r="6" spans="1:5" x14ac:dyDescent="0.3">
      <c r="A6" s="17" t="s">
        <v>52</v>
      </c>
      <c r="B6">
        <v>23</v>
      </c>
      <c r="C6">
        <v>10</v>
      </c>
      <c r="D6">
        <v>13</v>
      </c>
      <c r="E6">
        <v>7</v>
      </c>
    </row>
    <row r="7" spans="1:5" x14ac:dyDescent="0.3">
      <c r="A7" s="17" t="s">
        <v>16</v>
      </c>
      <c r="B7">
        <v>9</v>
      </c>
      <c r="C7">
        <v>12</v>
      </c>
      <c r="D7">
        <v>9</v>
      </c>
      <c r="E7">
        <v>9</v>
      </c>
    </row>
    <row r="8" spans="1:5" x14ac:dyDescent="0.3">
      <c r="A8" s="17" t="s">
        <v>35</v>
      </c>
      <c r="B8">
        <v>7</v>
      </c>
      <c r="C8">
        <v>12</v>
      </c>
      <c r="D8">
        <v>8</v>
      </c>
      <c r="E8">
        <v>9</v>
      </c>
    </row>
    <row r="9" spans="1:5" x14ac:dyDescent="0.3">
      <c r="A9" s="17" t="s">
        <v>22</v>
      </c>
      <c r="B9">
        <v>10</v>
      </c>
      <c r="C9">
        <v>8</v>
      </c>
      <c r="D9">
        <v>10</v>
      </c>
      <c r="E9">
        <v>5</v>
      </c>
    </row>
    <row r="10" spans="1:5" x14ac:dyDescent="0.3">
      <c r="A10" s="17" t="s">
        <v>74</v>
      </c>
      <c r="B10">
        <v>6</v>
      </c>
      <c r="C10">
        <v>10</v>
      </c>
      <c r="D10">
        <v>11</v>
      </c>
      <c r="E10">
        <v>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EBAA-9FAE-4BB8-B3CC-D865A01AFB31}">
  <dimension ref="A3:G7"/>
  <sheetViews>
    <sheetView workbookViewId="0">
      <selection activeCell="J3" sqref="J3"/>
    </sheetView>
  </sheetViews>
  <sheetFormatPr defaultRowHeight="14.4" x14ac:dyDescent="0.3"/>
  <cols>
    <col min="1" max="1" width="16" bestFit="1" customWidth="1"/>
    <col min="2" max="2" width="20.77734375" bestFit="1" customWidth="1"/>
    <col min="3" max="3" width="16.33203125" bestFit="1" customWidth="1"/>
    <col min="4" max="4" width="14.77734375" bestFit="1" customWidth="1"/>
    <col min="5" max="5" width="12.5546875" bestFit="1" customWidth="1"/>
    <col min="6" max="6" width="18.6640625" bestFit="1" customWidth="1"/>
    <col min="7" max="7" width="12.109375" bestFit="1" customWidth="1"/>
  </cols>
  <sheetData>
    <row r="3" spans="1:7" x14ac:dyDescent="0.3">
      <c r="A3" s="16" t="s">
        <v>613</v>
      </c>
      <c r="B3" t="s">
        <v>636</v>
      </c>
      <c r="C3" t="s">
        <v>637</v>
      </c>
      <c r="D3" t="s">
        <v>638</v>
      </c>
      <c r="E3" t="s">
        <v>634</v>
      </c>
      <c r="F3" t="s">
        <v>635</v>
      </c>
      <c r="G3" t="s">
        <v>633</v>
      </c>
    </row>
    <row r="4" spans="1:7" x14ac:dyDescent="0.3">
      <c r="A4" s="17" t="s">
        <v>19</v>
      </c>
      <c r="B4">
        <v>38464</v>
      </c>
      <c r="C4" s="41">
        <v>134.04166666666666</v>
      </c>
      <c r="D4" s="41">
        <v>2891.5208333333335</v>
      </c>
      <c r="E4">
        <v>138793</v>
      </c>
      <c r="F4">
        <v>1846272</v>
      </c>
      <c r="G4">
        <v>6434</v>
      </c>
    </row>
    <row r="5" spans="1:7" x14ac:dyDescent="0.3">
      <c r="A5" s="17" t="s">
        <v>31</v>
      </c>
      <c r="B5" s="41">
        <v>33821.686567164179</v>
      </c>
      <c r="C5" s="41">
        <v>149.73134328358208</v>
      </c>
      <c r="D5" s="41">
        <v>2736.5074626865671</v>
      </c>
      <c r="E5">
        <v>183346</v>
      </c>
      <c r="F5">
        <v>2266053</v>
      </c>
      <c r="G5">
        <v>10032</v>
      </c>
    </row>
    <row r="6" spans="1:7" x14ac:dyDescent="0.3">
      <c r="A6" s="17" t="s">
        <v>25</v>
      </c>
      <c r="B6" s="41">
        <v>34247.517241379312</v>
      </c>
      <c r="C6" s="41">
        <v>170.20689655172413</v>
      </c>
      <c r="D6" s="41">
        <v>2754.8793103448274</v>
      </c>
      <c r="E6">
        <v>159783</v>
      </c>
      <c r="F6">
        <v>1986356</v>
      </c>
      <c r="G6">
        <v>9872</v>
      </c>
    </row>
    <row r="7" spans="1:7" x14ac:dyDescent="0.3">
      <c r="A7" s="17" t="s">
        <v>38</v>
      </c>
      <c r="B7" s="41">
        <v>34716.394366197186</v>
      </c>
      <c r="C7" s="41">
        <v>150.54929577464787</v>
      </c>
      <c r="D7" s="41">
        <v>2646.605633802817</v>
      </c>
      <c r="E7">
        <v>187909</v>
      </c>
      <c r="F7">
        <v>2464864</v>
      </c>
      <c r="G7">
        <v>10689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E425-A9F1-4017-8400-460CCDA7B629}">
  <dimension ref="A1:N245"/>
  <sheetViews>
    <sheetView topLeftCell="B1" workbookViewId="0">
      <selection activeCell="N2" sqref="N2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17.77734375" bestFit="1" customWidth="1"/>
    <col min="14" max="14" width="18.109375" bestFit="1" customWidth="1"/>
  </cols>
  <sheetData>
    <row r="1" spans="1:1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612</v>
      </c>
    </row>
    <row r="2" spans="1:14" x14ac:dyDescent="0.3">
      <c r="A2" s="7" t="s">
        <v>13</v>
      </c>
      <c r="B2" s="8" t="s">
        <v>14</v>
      </c>
      <c r="C2" s="9">
        <v>45649</v>
      </c>
      <c r="D2" s="8" t="s">
        <v>16</v>
      </c>
      <c r="E2" s="8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8" t="s">
        <v>62</v>
      </c>
      <c r="M2" s="8" t="s">
        <v>19</v>
      </c>
      <c r="N2" s="15">
        <f>(F2+G2+H2)/I2</f>
        <v>9.0759753593429152E-2</v>
      </c>
    </row>
    <row r="3" spans="1:14" x14ac:dyDescent="0.3">
      <c r="A3" s="10" t="s">
        <v>20</v>
      </c>
      <c r="B3" s="11" t="s">
        <v>14</v>
      </c>
      <c r="C3" s="12">
        <v>45750</v>
      </c>
      <c r="D3" s="11" t="s">
        <v>22</v>
      </c>
      <c r="E3" s="11" t="s">
        <v>23</v>
      </c>
      <c r="F3" s="11">
        <v>4054</v>
      </c>
      <c r="G3" s="11">
        <v>389</v>
      </c>
      <c r="H3" s="11">
        <v>493</v>
      </c>
      <c r="I3" s="11">
        <v>64864</v>
      </c>
      <c r="J3" s="11">
        <v>64383</v>
      </c>
      <c r="K3" s="11">
        <v>117</v>
      </c>
      <c r="L3" s="11" t="s">
        <v>30</v>
      </c>
      <c r="M3" s="11" t="s">
        <v>25</v>
      </c>
      <c r="N3" s="15">
        <f t="shared" ref="N3:N66" si="0">(F3+G3+H3)/I3</f>
        <v>7.6097681302417369E-2</v>
      </c>
    </row>
    <row r="4" spans="1:14" x14ac:dyDescent="0.3">
      <c r="A4" s="7" t="s">
        <v>26</v>
      </c>
      <c r="B4" s="8" t="s">
        <v>27</v>
      </c>
      <c r="C4" s="9">
        <v>45789</v>
      </c>
      <c r="D4" s="8" t="s">
        <v>16</v>
      </c>
      <c r="E4" s="8" t="s">
        <v>29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8" t="s">
        <v>30</v>
      </c>
      <c r="M4" s="8" t="s">
        <v>31</v>
      </c>
      <c r="N4" s="15">
        <f t="shared" si="0"/>
        <v>5.5531494209584788E-2</v>
      </c>
    </row>
    <row r="5" spans="1:14" x14ac:dyDescent="0.3">
      <c r="A5" s="10" t="s">
        <v>32</v>
      </c>
      <c r="B5" s="11" t="s">
        <v>33</v>
      </c>
      <c r="C5" s="12">
        <v>45516</v>
      </c>
      <c r="D5" s="11" t="s">
        <v>35</v>
      </c>
      <c r="E5" s="11" t="s">
        <v>36</v>
      </c>
      <c r="F5" s="11">
        <v>2404</v>
      </c>
      <c r="G5" s="11">
        <v>363</v>
      </c>
      <c r="H5" s="11">
        <v>138</v>
      </c>
      <c r="I5" s="11">
        <v>19232</v>
      </c>
      <c r="J5" s="11">
        <v>18636</v>
      </c>
      <c r="K5" s="11">
        <v>128</v>
      </c>
      <c r="L5" s="11" t="s">
        <v>37</v>
      </c>
      <c r="M5" s="11" t="s">
        <v>38</v>
      </c>
      <c r="N5" s="15">
        <f t="shared" si="0"/>
        <v>0.15105033277870217</v>
      </c>
    </row>
    <row r="6" spans="1:14" x14ac:dyDescent="0.3">
      <c r="A6" s="7" t="s">
        <v>39</v>
      </c>
      <c r="B6" s="8" t="s">
        <v>27</v>
      </c>
      <c r="C6" s="9">
        <v>45469</v>
      </c>
      <c r="D6" s="8" t="s">
        <v>16</v>
      </c>
      <c r="E6" s="8" t="s">
        <v>29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8" t="s">
        <v>37</v>
      </c>
      <c r="M6" s="8" t="s">
        <v>19</v>
      </c>
      <c r="N6" s="15">
        <f t="shared" si="0"/>
        <v>6.5617093055946027E-2</v>
      </c>
    </row>
    <row r="7" spans="1:14" x14ac:dyDescent="0.3">
      <c r="A7" s="10" t="s">
        <v>42</v>
      </c>
      <c r="B7" s="11" t="s">
        <v>43</v>
      </c>
      <c r="C7" s="12">
        <v>45596</v>
      </c>
      <c r="D7" s="11" t="s">
        <v>45</v>
      </c>
      <c r="E7" s="11" t="s">
        <v>46</v>
      </c>
      <c r="F7" s="11">
        <v>2945</v>
      </c>
      <c r="G7" s="11">
        <v>930</v>
      </c>
      <c r="H7" s="11">
        <v>355</v>
      </c>
      <c r="I7" s="11">
        <v>23560</v>
      </c>
      <c r="J7" s="11">
        <v>23275</v>
      </c>
      <c r="K7" s="11">
        <v>256</v>
      </c>
      <c r="L7" s="11" t="s">
        <v>30</v>
      </c>
      <c r="M7" s="11" t="s">
        <v>25</v>
      </c>
      <c r="N7" s="15">
        <f t="shared" si="0"/>
        <v>0.17954159592529711</v>
      </c>
    </row>
    <row r="8" spans="1:14" x14ac:dyDescent="0.3">
      <c r="A8" s="7" t="s">
        <v>47</v>
      </c>
      <c r="B8" s="8" t="s">
        <v>14</v>
      </c>
      <c r="C8" s="9">
        <v>45467</v>
      </c>
      <c r="D8" s="8" t="s">
        <v>45</v>
      </c>
      <c r="E8" s="8" t="s">
        <v>49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8" t="s">
        <v>30</v>
      </c>
      <c r="M8" s="8" t="s">
        <v>25</v>
      </c>
      <c r="N8" s="15">
        <f t="shared" si="0"/>
        <v>7.0272020725388601E-2</v>
      </c>
    </row>
    <row r="9" spans="1:14" x14ac:dyDescent="0.3">
      <c r="A9" s="10" t="s">
        <v>50</v>
      </c>
      <c r="B9" s="11" t="s">
        <v>27</v>
      </c>
      <c r="C9" s="12">
        <v>45486</v>
      </c>
      <c r="D9" s="11" t="s">
        <v>52</v>
      </c>
      <c r="E9" s="11" t="s">
        <v>53</v>
      </c>
      <c r="F9" s="11">
        <v>3929</v>
      </c>
      <c r="G9" s="11">
        <v>262</v>
      </c>
      <c r="H9" s="11">
        <v>278</v>
      </c>
      <c r="I9" s="11">
        <v>43219</v>
      </c>
      <c r="J9" s="11">
        <v>42841</v>
      </c>
      <c r="K9" s="11">
        <v>39</v>
      </c>
      <c r="L9" s="11" t="s">
        <v>37</v>
      </c>
      <c r="M9" s="11" t="s">
        <v>38</v>
      </c>
      <c r="N9" s="15">
        <f t="shared" si="0"/>
        <v>0.10340359564080613</v>
      </c>
    </row>
    <row r="10" spans="1:14" x14ac:dyDescent="0.3">
      <c r="A10" s="7" t="s">
        <v>54</v>
      </c>
      <c r="B10" s="8" t="s">
        <v>43</v>
      </c>
      <c r="C10" s="9">
        <v>45534</v>
      </c>
      <c r="D10" s="8" t="s">
        <v>22</v>
      </c>
      <c r="E10" s="8" t="s">
        <v>56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8" t="s">
        <v>30</v>
      </c>
      <c r="M10" s="8" t="s">
        <v>25</v>
      </c>
      <c r="N10" s="15">
        <f t="shared" si="0"/>
        <v>8.8019732205778717E-2</v>
      </c>
    </row>
    <row r="11" spans="1:14" x14ac:dyDescent="0.3">
      <c r="A11" s="10" t="s">
        <v>57</v>
      </c>
      <c r="B11" s="11" t="s">
        <v>43</v>
      </c>
      <c r="C11" s="12">
        <v>45727</v>
      </c>
      <c r="D11" s="11" t="s">
        <v>52</v>
      </c>
      <c r="E11" s="11" t="s">
        <v>59</v>
      </c>
      <c r="F11" s="11">
        <v>4241</v>
      </c>
      <c r="G11" s="11">
        <v>902</v>
      </c>
      <c r="H11" s="11">
        <v>47</v>
      </c>
      <c r="I11" s="11">
        <v>72097</v>
      </c>
      <c r="J11" s="11">
        <v>71598</v>
      </c>
      <c r="K11" s="11">
        <v>167</v>
      </c>
      <c r="L11" s="11" t="s">
        <v>30</v>
      </c>
      <c r="M11" s="11" t="s">
        <v>25</v>
      </c>
      <c r="N11" s="15">
        <f t="shared" si="0"/>
        <v>7.198635172059864E-2</v>
      </c>
    </row>
    <row r="12" spans="1:14" x14ac:dyDescent="0.3">
      <c r="A12" s="7" t="s">
        <v>60</v>
      </c>
      <c r="B12" s="8" t="s">
        <v>33</v>
      </c>
      <c r="C12" s="9">
        <v>45690</v>
      </c>
      <c r="D12" s="8" t="s">
        <v>35</v>
      </c>
      <c r="E12" s="8" t="s">
        <v>36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8" t="s">
        <v>62</v>
      </c>
      <c r="M12" s="8" t="s">
        <v>38</v>
      </c>
      <c r="N12" s="15">
        <f t="shared" si="0"/>
        <v>0.11571269132653061</v>
      </c>
    </row>
    <row r="13" spans="1:14" x14ac:dyDescent="0.3">
      <c r="A13" s="10" t="s">
        <v>63</v>
      </c>
      <c r="B13" s="11" t="s">
        <v>43</v>
      </c>
      <c r="C13" s="12">
        <v>45494</v>
      </c>
      <c r="D13" s="11" t="s">
        <v>16</v>
      </c>
      <c r="E13" s="11" t="s">
        <v>65</v>
      </c>
      <c r="F13" s="11">
        <v>1946</v>
      </c>
      <c r="G13" s="11">
        <v>686</v>
      </c>
      <c r="H13" s="11">
        <v>377</v>
      </c>
      <c r="I13" s="11">
        <v>23352</v>
      </c>
      <c r="J13" s="11">
        <v>22982</v>
      </c>
      <c r="K13" s="11">
        <v>213</v>
      </c>
      <c r="L13" s="11" t="s">
        <v>62</v>
      </c>
      <c r="M13" s="11" t="s">
        <v>31</v>
      </c>
      <c r="N13" s="15">
        <f t="shared" si="0"/>
        <v>0.12885405960945528</v>
      </c>
    </row>
    <row r="14" spans="1:14" x14ac:dyDescent="0.3">
      <c r="A14" s="7" t="s">
        <v>66</v>
      </c>
      <c r="B14" s="8" t="s">
        <v>27</v>
      </c>
      <c r="C14" s="9">
        <v>45614</v>
      </c>
      <c r="D14" s="8" t="s">
        <v>45</v>
      </c>
      <c r="E14" s="8" t="s">
        <v>68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8" t="s">
        <v>37</v>
      </c>
      <c r="M14" s="8" t="s">
        <v>19</v>
      </c>
      <c r="N14" s="15">
        <f t="shared" si="0"/>
        <v>7.5868578363072495E-2</v>
      </c>
    </row>
    <row r="15" spans="1:14" x14ac:dyDescent="0.3">
      <c r="A15" s="10" t="s">
        <v>72</v>
      </c>
      <c r="B15" s="11" t="s">
        <v>43</v>
      </c>
      <c r="C15" s="12">
        <v>45589</v>
      </c>
      <c r="D15" s="11" t="s">
        <v>74</v>
      </c>
      <c r="E15" s="11" t="s">
        <v>75</v>
      </c>
      <c r="F15" s="11">
        <v>3888</v>
      </c>
      <c r="G15" s="11">
        <v>604</v>
      </c>
      <c r="H15" s="11">
        <v>128</v>
      </c>
      <c r="I15" s="11">
        <v>77760</v>
      </c>
      <c r="J15" s="11">
        <v>77167</v>
      </c>
      <c r="K15" s="11">
        <v>20</v>
      </c>
      <c r="L15" s="11" t="s">
        <v>62</v>
      </c>
      <c r="M15" s="11" t="s">
        <v>19</v>
      </c>
      <c r="N15" s="15">
        <f t="shared" si="0"/>
        <v>5.941358024691358E-2</v>
      </c>
    </row>
    <row r="16" spans="1:14" x14ac:dyDescent="0.3">
      <c r="A16" s="7" t="s">
        <v>76</v>
      </c>
      <c r="B16" s="8" t="s">
        <v>43</v>
      </c>
      <c r="C16" s="9">
        <v>45530</v>
      </c>
      <c r="D16" s="8" t="s">
        <v>22</v>
      </c>
      <c r="E16" s="8" t="s">
        <v>56</v>
      </c>
      <c r="F16" s="8">
        <v>3452</v>
      </c>
      <c r="G16" s="8">
        <v>377</v>
      </c>
      <c r="H16" s="8">
        <v>360</v>
      </c>
      <c r="I16" s="8">
        <v>55232</v>
      </c>
      <c r="J16" s="8">
        <v>55075</v>
      </c>
      <c r="K16" s="8">
        <v>87</v>
      </c>
      <c r="L16" s="8" t="s">
        <v>62</v>
      </c>
      <c r="M16" s="8" t="s">
        <v>31</v>
      </c>
      <c r="N16" s="15">
        <f t="shared" si="0"/>
        <v>7.5843713789107758E-2</v>
      </c>
    </row>
    <row r="17" spans="1:14" x14ac:dyDescent="0.3">
      <c r="A17" s="10" t="s">
        <v>78</v>
      </c>
      <c r="B17" s="11" t="s">
        <v>43</v>
      </c>
      <c r="C17" s="12">
        <v>45782</v>
      </c>
      <c r="D17" s="11" t="s">
        <v>22</v>
      </c>
      <c r="E17" s="11" t="s">
        <v>56</v>
      </c>
      <c r="F17" s="11">
        <v>4441</v>
      </c>
      <c r="G17" s="11">
        <v>511</v>
      </c>
      <c r="H17" s="11">
        <v>70</v>
      </c>
      <c r="I17" s="11">
        <v>53292</v>
      </c>
      <c r="J17" s="11">
        <v>53082</v>
      </c>
      <c r="K17" s="11">
        <v>159</v>
      </c>
      <c r="L17" s="11" t="s">
        <v>37</v>
      </c>
      <c r="M17" s="11" t="s">
        <v>38</v>
      </c>
      <c r="N17" s="15">
        <f t="shared" si="0"/>
        <v>9.4235532537716729E-2</v>
      </c>
    </row>
    <row r="18" spans="1:14" x14ac:dyDescent="0.3">
      <c r="A18" s="7" t="s">
        <v>80</v>
      </c>
      <c r="B18" s="8" t="s">
        <v>33</v>
      </c>
      <c r="C18" s="9">
        <v>45523</v>
      </c>
      <c r="D18" s="8" t="s">
        <v>16</v>
      </c>
      <c r="E18" s="8" t="s">
        <v>82</v>
      </c>
      <c r="F18" s="8">
        <v>3000</v>
      </c>
      <c r="G18" s="8">
        <v>382</v>
      </c>
      <c r="H18" s="8">
        <v>325</v>
      </c>
      <c r="I18" s="8">
        <v>36000</v>
      </c>
      <c r="J18" s="8">
        <v>35819</v>
      </c>
      <c r="K18" s="8">
        <v>19</v>
      </c>
      <c r="L18" s="8" t="s">
        <v>62</v>
      </c>
      <c r="M18" s="8" t="s">
        <v>19</v>
      </c>
      <c r="N18" s="15">
        <f t="shared" si="0"/>
        <v>0.10297222222222223</v>
      </c>
    </row>
    <row r="19" spans="1:14" x14ac:dyDescent="0.3">
      <c r="A19" s="10" t="s">
        <v>83</v>
      </c>
      <c r="B19" s="11" t="s">
        <v>33</v>
      </c>
      <c r="C19" s="12">
        <v>45466</v>
      </c>
      <c r="D19" s="11" t="s">
        <v>74</v>
      </c>
      <c r="E19" s="11" t="s">
        <v>85</v>
      </c>
      <c r="F19" s="11">
        <v>1071</v>
      </c>
      <c r="G19" s="11">
        <v>519</v>
      </c>
      <c r="H19" s="11">
        <v>22</v>
      </c>
      <c r="I19" s="11">
        <v>16065</v>
      </c>
      <c r="J19" s="11">
        <v>15865</v>
      </c>
      <c r="K19" s="11">
        <v>103</v>
      </c>
      <c r="L19" s="11" t="s">
        <v>30</v>
      </c>
      <c r="M19" s="11" t="s">
        <v>38</v>
      </c>
      <c r="N19" s="15">
        <f t="shared" si="0"/>
        <v>0.10034235916588857</v>
      </c>
    </row>
    <row r="20" spans="1:14" x14ac:dyDescent="0.3">
      <c r="A20" s="7" t="s">
        <v>86</v>
      </c>
      <c r="B20" s="8" t="s">
        <v>33</v>
      </c>
      <c r="C20" s="9">
        <v>45544</v>
      </c>
      <c r="D20" s="8" t="s">
        <v>45</v>
      </c>
      <c r="E20" s="8" t="s">
        <v>88</v>
      </c>
      <c r="F20" s="8">
        <v>4054</v>
      </c>
      <c r="G20" s="8">
        <v>488</v>
      </c>
      <c r="H20" s="8">
        <v>373</v>
      </c>
      <c r="I20" s="8">
        <v>77026</v>
      </c>
      <c r="J20" s="8">
        <v>76881</v>
      </c>
      <c r="K20" s="8">
        <v>25</v>
      </c>
      <c r="L20" s="8" t="s">
        <v>30</v>
      </c>
      <c r="M20" s="8" t="s">
        <v>19</v>
      </c>
      <c r="N20" s="15">
        <f t="shared" si="0"/>
        <v>6.3809622724794221E-2</v>
      </c>
    </row>
    <row r="21" spans="1:14" x14ac:dyDescent="0.3">
      <c r="A21" s="10" t="s">
        <v>89</v>
      </c>
      <c r="B21" s="11" t="s">
        <v>33</v>
      </c>
      <c r="C21" s="12">
        <v>45661</v>
      </c>
      <c r="D21" s="11" t="s">
        <v>16</v>
      </c>
      <c r="E21" s="11" t="s">
        <v>82</v>
      </c>
      <c r="F21" s="11">
        <v>4838</v>
      </c>
      <c r="G21" s="11">
        <v>640</v>
      </c>
      <c r="H21" s="11">
        <v>128</v>
      </c>
      <c r="I21" s="11">
        <v>72570</v>
      </c>
      <c r="J21" s="11">
        <v>72396</v>
      </c>
      <c r="K21" s="11">
        <v>83</v>
      </c>
      <c r="L21" s="11" t="s">
        <v>62</v>
      </c>
      <c r="M21" s="11" t="s">
        <v>38</v>
      </c>
      <c r="N21" s="15">
        <f t="shared" si="0"/>
        <v>7.7249552156538517E-2</v>
      </c>
    </row>
    <row r="22" spans="1:14" x14ac:dyDescent="0.3">
      <c r="A22" s="7" t="s">
        <v>91</v>
      </c>
      <c r="B22" s="8" t="s">
        <v>43</v>
      </c>
      <c r="C22" s="9">
        <v>45715</v>
      </c>
      <c r="D22" s="8" t="s">
        <v>22</v>
      </c>
      <c r="E22" s="8" t="s">
        <v>56</v>
      </c>
      <c r="F22" s="8">
        <v>1570</v>
      </c>
      <c r="G22" s="8">
        <v>187</v>
      </c>
      <c r="H22" s="8">
        <v>260</v>
      </c>
      <c r="I22" s="8">
        <v>25120</v>
      </c>
      <c r="J22" s="8">
        <v>24613</v>
      </c>
      <c r="K22" s="8">
        <v>133</v>
      </c>
      <c r="L22" s="8" t="s">
        <v>30</v>
      </c>
      <c r="M22" s="8" t="s">
        <v>38</v>
      </c>
      <c r="N22" s="15">
        <f t="shared" si="0"/>
        <v>8.0294585987261149E-2</v>
      </c>
    </row>
    <row r="23" spans="1:14" x14ac:dyDescent="0.3">
      <c r="A23" s="10" t="s">
        <v>93</v>
      </c>
      <c r="B23" s="11" t="s">
        <v>43</v>
      </c>
      <c r="C23" s="12">
        <v>45602</v>
      </c>
      <c r="D23" s="11" t="s">
        <v>74</v>
      </c>
      <c r="E23" s="11" t="s">
        <v>75</v>
      </c>
      <c r="F23" s="11">
        <v>1606</v>
      </c>
      <c r="G23" s="11">
        <v>547</v>
      </c>
      <c r="H23" s="11">
        <v>316</v>
      </c>
      <c r="I23" s="11">
        <v>32120</v>
      </c>
      <c r="J23" s="11">
        <v>31736</v>
      </c>
      <c r="K23" s="11">
        <v>225</v>
      </c>
      <c r="L23" s="11" t="s">
        <v>30</v>
      </c>
      <c r="M23" s="11" t="s">
        <v>25</v>
      </c>
      <c r="N23" s="15">
        <f t="shared" si="0"/>
        <v>7.6867995018679955E-2</v>
      </c>
    </row>
    <row r="24" spans="1:14" x14ac:dyDescent="0.3">
      <c r="A24" s="7" t="s">
        <v>96</v>
      </c>
      <c r="B24" s="8" t="s">
        <v>43</v>
      </c>
      <c r="C24" s="9">
        <v>45680</v>
      </c>
      <c r="D24" s="8" t="s">
        <v>74</v>
      </c>
      <c r="E24" s="8" t="s">
        <v>75</v>
      </c>
      <c r="F24" s="8">
        <v>3961</v>
      </c>
      <c r="G24" s="8">
        <v>761</v>
      </c>
      <c r="H24" s="8">
        <v>131</v>
      </c>
      <c r="I24" s="8">
        <v>67337</v>
      </c>
      <c r="J24" s="8">
        <v>66615</v>
      </c>
      <c r="K24" s="8">
        <v>161</v>
      </c>
      <c r="L24" s="8" t="s">
        <v>62</v>
      </c>
      <c r="M24" s="8" t="s">
        <v>31</v>
      </c>
      <c r="N24" s="15">
        <f t="shared" si="0"/>
        <v>7.2070332803659209E-2</v>
      </c>
    </row>
    <row r="25" spans="1:14" x14ac:dyDescent="0.3">
      <c r="A25" s="10" t="s">
        <v>100</v>
      </c>
      <c r="B25" s="11" t="s">
        <v>27</v>
      </c>
      <c r="C25" s="12">
        <v>45752</v>
      </c>
      <c r="D25" s="11" t="s">
        <v>16</v>
      </c>
      <c r="E25" s="11" t="s">
        <v>29</v>
      </c>
      <c r="F25" s="11">
        <v>3009</v>
      </c>
      <c r="G25" s="11">
        <v>413</v>
      </c>
      <c r="H25" s="11">
        <v>358</v>
      </c>
      <c r="I25" s="11">
        <v>42126</v>
      </c>
      <c r="J25" s="11">
        <v>41309</v>
      </c>
      <c r="K25" s="11">
        <v>211</v>
      </c>
      <c r="L25" s="11" t="s">
        <v>62</v>
      </c>
      <c r="M25" s="11" t="s">
        <v>25</v>
      </c>
      <c r="N25" s="15">
        <f t="shared" si="0"/>
        <v>8.9730807577268201E-2</v>
      </c>
    </row>
    <row r="26" spans="1:14" x14ac:dyDescent="0.3">
      <c r="A26" s="7" t="s">
        <v>102</v>
      </c>
      <c r="B26" s="8" t="s">
        <v>27</v>
      </c>
      <c r="C26" s="9">
        <v>45552</v>
      </c>
      <c r="D26" s="8" t="s">
        <v>22</v>
      </c>
      <c r="E26" s="8" t="s">
        <v>104</v>
      </c>
      <c r="F26" s="8">
        <v>2076</v>
      </c>
      <c r="G26" s="8">
        <v>195</v>
      </c>
      <c r="H26" s="8">
        <v>104</v>
      </c>
      <c r="I26" s="8">
        <v>33216</v>
      </c>
      <c r="J26" s="8">
        <v>32244</v>
      </c>
      <c r="K26" s="8">
        <v>51</v>
      </c>
      <c r="L26" s="8" t="s">
        <v>62</v>
      </c>
      <c r="M26" s="8" t="s">
        <v>38</v>
      </c>
      <c r="N26" s="15">
        <f t="shared" si="0"/>
        <v>7.1501685934489398E-2</v>
      </c>
    </row>
    <row r="27" spans="1:14" x14ac:dyDescent="0.3">
      <c r="A27" s="10" t="s">
        <v>105</v>
      </c>
      <c r="B27" s="11" t="s">
        <v>33</v>
      </c>
      <c r="C27" s="12">
        <v>45720</v>
      </c>
      <c r="D27" s="11" t="s">
        <v>74</v>
      </c>
      <c r="E27" s="11" t="s">
        <v>85</v>
      </c>
      <c r="F27" s="11">
        <v>432</v>
      </c>
      <c r="G27" s="11">
        <v>624</v>
      </c>
      <c r="H27" s="11">
        <v>123</v>
      </c>
      <c r="I27" s="11">
        <v>6912</v>
      </c>
      <c r="J27" s="11">
        <v>6259</v>
      </c>
      <c r="K27" s="11">
        <v>79</v>
      </c>
      <c r="L27" s="11" t="s">
        <v>62</v>
      </c>
      <c r="M27" s="11" t="s">
        <v>38</v>
      </c>
      <c r="N27" s="15">
        <f t="shared" si="0"/>
        <v>0.17057291666666666</v>
      </c>
    </row>
    <row r="28" spans="1:14" x14ac:dyDescent="0.3">
      <c r="A28" s="7" t="s">
        <v>107</v>
      </c>
      <c r="B28" s="8" t="s">
        <v>33</v>
      </c>
      <c r="C28" s="9">
        <v>45688</v>
      </c>
      <c r="D28" s="8" t="s">
        <v>45</v>
      </c>
      <c r="E28" s="8" t="s">
        <v>88</v>
      </c>
      <c r="F28" s="8">
        <v>2566</v>
      </c>
      <c r="G28" s="8">
        <v>118</v>
      </c>
      <c r="H28" s="8">
        <v>37</v>
      </c>
      <c r="I28" s="8">
        <v>12830</v>
      </c>
      <c r="J28" s="8">
        <v>12264</v>
      </c>
      <c r="K28" s="8">
        <v>221</v>
      </c>
      <c r="L28" s="8" t="s">
        <v>62</v>
      </c>
      <c r="M28" s="8" t="s">
        <v>31</v>
      </c>
      <c r="N28" s="15">
        <f t="shared" si="0"/>
        <v>0.21208106001558846</v>
      </c>
    </row>
    <row r="29" spans="1:14" x14ac:dyDescent="0.3">
      <c r="A29" s="10" t="s">
        <v>111</v>
      </c>
      <c r="B29" s="11" t="s">
        <v>33</v>
      </c>
      <c r="C29" s="12">
        <v>45642</v>
      </c>
      <c r="D29" s="11" t="s">
        <v>22</v>
      </c>
      <c r="E29" s="11" t="s">
        <v>113</v>
      </c>
      <c r="F29" s="11">
        <v>438</v>
      </c>
      <c r="G29" s="11">
        <v>153</v>
      </c>
      <c r="H29" s="11">
        <v>275</v>
      </c>
      <c r="I29" s="11">
        <v>3066</v>
      </c>
      <c r="J29" s="11">
        <v>2701</v>
      </c>
      <c r="K29" s="11">
        <v>282</v>
      </c>
      <c r="L29" s="11" t="s">
        <v>30</v>
      </c>
      <c r="M29" s="11" t="s">
        <v>25</v>
      </c>
      <c r="N29" s="15">
        <f t="shared" si="0"/>
        <v>0.28245270711024134</v>
      </c>
    </row>
    <row r="30" spans="1:14" x14ac:dyDescent="0.3">
      <c r="A30" s="7" t="s">
        <v>114</v>
      </c>
      <c r="B30" s="8" t="s">
        <v>14</v>
      </c>
      <c r="C30" s="9">
        <v>45504</v>
      </c>
      <c r="D30" s="8" t="s">
        <v>45</v>
      </c>
      <c r="E30" s="8" t="s">
        <v>49</v>
      </c>
      <c r="F30" s="8">
        <v>2278</v>
      </c>
      <c r="G30" s="8">
        <v>10</v>
      </c>
      <c r="H30" s="8">
        <v>321</v>
      </c>
      <c r="I30" s="8">
        <v>13668</v>
      </c>
      <c r="J30" s="8">
        <v>12676</v>
      </c>
      <c r="K30" s="8">
        <v>275</v>
      </c>
      <c r="L30" s="8" t="s">
        <v>37</v>
      </c>
      <c r="M30" s="8" t="s">
        <v>19</v>
      </c>
      <c r="N30" s="15">
        <f t="shared" si="0"/>
        <v>0.19088381621305239</v>
      </c>
    </row>
    <row r="31" spans="1:14" x14ac:dyDescent="0.3">
      <c r="A31" s="10" t="s">
        <v>116</v>
      </c>
      <c r="B31" s="11" t="s">
        <v>43</v>
      </c>
      <c r="C31" s="12">
        <v>45525</v>
      </c>
      <c r="D31" s="11" t="s">
        <v>52</v>
      </c>
      <c r="E31" s="11" t="s">
        <v>59</v>
      </c>
      <c r="F31" s="11">
        <v>1407</v>
      </c>
      <c r="G31" s="11">
        <v>400</v>
      </c>
      <c r="H31" s="11">
        <v>351</v>
      </c>
      <c r="I31" s="11">
        <v>16884</v>
      </c>
      <c r="J31" s="11">
        <v>15954</v>
      </c>
      <c r="K31" s="11">
        <v>113</v>
      </c>
      <c r="L31" s="11" t="s">
        <v>30</v>
      </c>
      <c r="M31" s="11" t="s">
        <v>19</v>
      </c>
      <c r="N31" s="15">
        <f t="shared" si="0"/>
        <v>0.12781331438047855</v>
      </c>
    </row>
    <row r="32" spans="1:14" x14ac:dyDescent="0.3">
      <c r="A32" s="7" t="s">
        <v>118</v>
      </c>
      <c r="B32" s="8" t="s">
        <v>43</v>
      </c>
      <c r="C32" s="9">
        <v>45742</v>
      </c>
      <c r="D32" s="8" t="s">
        <v>22</v>
      </c>
      <c r="E32" s="8" t="s">
        <v>56</v>
      </c>
      <c r="F32" s="8">
        <v>1652</v>
      </c>
      <c r="G32" s="8">
        <v>89</v>
      </c>
      <c r="H32" s="8">
        <v>357</v>
      </c>
      <c r="I32" s="8">
        <v>29736</v>
      </c>
      <c r="J32" s="8">
        <v>28771</v>
      </c>
      <c r="K32" s="8">
        <v>215</v>
      </c>
      <c r="L32" s="8" t="s">
        <v>30</v>
      </c>
      <c r="M32" s="8" t="s">
        <v>31</v>
      </c>
      <c r="N32" s="15">
        <f t="shared" si="0"/>
        <v>7.055421038471886E-2</v>
      </c>
    </row>
    <row r="33" spans="1:14" x14ac:dyDescent="0.3">
      <c r="A33" s="10" t="s">
        <v>120</v>
      </c>
      <c r="B33" s="11" t="s">
        <v>33</v>
      </c>
      <c r="C33" s="12">
        <v>45626</v>
      </c>
      <c r="D33" s="11" t="s">
        <v>74</v>
      </c>
      <c r="E33" s="11" t="s">
        <v>85</v>
      </c>
      <c r="F33" s="11">
        <v>3775</v>
      </c>
      <c r="G33" s="11">
        <v>16</v>
      </c>
      <c r="H33" s="11">
        <v>239</v>
      </c>
      <c r="I33" s="11">
        <v>33975</v>
      </c>
      <c r="J33" s="11">
        <v>33310</v>
      </c>
      <c r="K33" s="11">
        <v>271</v>
      </c>
      <c r="L33" s="11" t="s">
        <v>62</v>
      </c>
      <c r="M33" s="11" t="s">
        <v>25</v>
      </c>
      <c r="N33" s="15">
        <f t="shared" si="0"/>
        <v>0.11861662987490802</v>
      </c>
    </row>
    <row r="34" spans="1:14" x14ac:dyDescent="0.3">
      <c r="A34" s="7" t="s">
        <v>122</v>
      </c>
      <c r="B34" s="8" t="s">
        <v>33</v>
      </c>
      <c r="C34" s="9">
        <v>45766</v>
      </c>
      <c r="D34" s="8" t="s">
        <v>35</v>
      </c>
      <c r="E34" s="8" t="s">
        <v>36</v>
      </c>
      <c r="F34" s="8">
        <v>4518</v>
      </c>
      <c r="G34" s="8">
        <v>285</v>
      </c>
      <c r="H34" s="8">
        <v>383</v>
      </c>
      <c r="I34" s="8">
        <v>67770</v>
      </c>
      <c r="J34" s="8">
        <v>67621</v>
      </c>
      <c r="K34" s="8">
        <v>31</v>
      </c>
      <c r="L34" s="8" t="s">
        <v>37</v>
      </c>
      <c r="M34" s="8" t="s">
        <v>25</v>
      </c>
      <c r="N34" s="15">
        <f t="shared" si="0"/>
        <v>7.6523535487678915E-2</v>
      </c>
    </row>
    <row r="35" spans="1:14" x14ac:dyDescent="0.3">
      <c r="A35" s="10" t="s">
        <v>124</v>
      </c>
      <c r="B35" s="11" t="s">
        <v>43</v>
      </c>
      <c r="C35" s="12">
        <v>45663</v>
      </c>
      <c r="D35" s="11" t="s">
        <v>45</v>
      </c>
      <c r="E35" s="11" t="s">
        <v>46</v>
      </c>
      <c r="F35" s="11">
        <v>3024</v>
      </c>
      <c r="G35" s="11">
        <v>925</v>
      </c>
      <c r="H35" s="11">
        <v>350</v>
      </c>
      <c r="I35" s="11">
        <v>24192</v>
      </c>
      <c r="J35" s="11">
        <v>23518</v>
      </c>
      <c r="K35" s="11">
        <v>36</v>
      </c>
      <c r="L35" s="11" t="s">
        <v>37</v>
      </c>
      <c r="M35" s="11" t="s">
        <v>25</v>
      </c>
      <c r="N35" s="15">
        <f t="shared" si="0"/>
        <v>0.17770337301587302</v>
      </c>
    </row>
    <row r="36" spans="1:14" x14ac:dyDescent="0.3">
      <c r="A36" s="7" t="s">
        <v>126</v>
      </c>
      <c r="B36" s="8" t="s">
        <v>27</v>
      </c>
      <c r="C36" s="9">
        <v>45705</v>
      </c>
      <c r="D36" s="8" t="s">
        <v>16</v>
      </c>
      <c r="E36" s="8" t="s">
        <v>29</v>
      </c>
      <c r="F36" s="8">
        <v>3138</v>
      </c>
      <c r="G36" s="8">
        <v>123</v>
      </c>
      <c r="H36" s="8">
        <v>291</v>
      </c>
      <c r="I36" s="8">
        <v>28242</v>
      </c>
      <c r="J36" s="8">
        <v>27550</v>
      </c>
      <c r="K36" s="8">
        <v>87</v>
      </c>
      <c r="L36" s="8" t="s">
        <v>30</v>
      </c>
      <c r="M36" s="8" t="s">
        <v>38</v>
      </c>
      <c r="N36" s="15">
        <f t="shared" si="0"/>
        <v>0.12577012959422137</v>
      </c>
    </row>
    <row r="37" spans="1:14" x14ac:dyDescent="0.3">
      <c r="A37" s="10" t="s">
        <v>130</v>
      </c>
      <c r="B37" s="11" t="s">
        <v>14</v>
      </c>
      <c r="C37" s="12">
        <v>45723</v>
      </c>
      <c r="D37" s="11" t="s">
        <v>52</v>
      </c>
      <c r="E37" s="11" t="s">
        <v>132</v>
      </c>
      <c r="F37" s="11">
        <v>4750</v>
      </c>
      <c r="G37" s="11">
        <v>151</v>
      </c>
      <c r="H37" s="11">
        <v>415</v>
      </c>
      <c r="I37" s="11">
        <v>38000</v>
      </c>
      <c r="J37" s="11">
        <v>37792</v>
      </c>
      <c r="K37" s="11">
        <v>299</v>
      </c>
      <c r="L37" s="11" t="s">
        <v>37</v>
      </c>
      <c r="M37" s="11" t="s">
        <v>38</v>
      </c>
      <c r="N37" s="15">
        <f t="shared" si="0"/>
        <v>0.13989473684210527</v>
      </c>
    </row>
    <row r="38" spans="1:14" x14ac:dyDescent="0.3">
      <c r="A38" s="7" t="s">
        <v>133</v>
      </c>
      <c r="B38" s="8" t="s">
        <v>33</v>
      </c>
      <c r="C38" s="9">
        <v>45724</v>
      </c>
      <c r="D38" s="8" t="s">
        <v>16</v>
      </c>
      <c r="E38" s="8" t="s">
        <v>82</v>
      </c>
      <c r="F38" s="8">
        <v>456</v>
      </c>
      <c r="G38" s="8">
        <v>629</v>
      </c>
      <c r="H38" s="8">
        <v>428</v>
      </c>
      <c r="I38" s="8">
        <v>8208</v>
      </c>
      <c r="J38" s="8">
        <v>7377</v>
      </c>
      <c r="K38" s="8">
        <v>205</v>
      </c>
      <c r="L38" s="8" t="s">
        <v>62</v>
      </c>
      <c r="M38" s="8" t="s">
        <v>38</v>
      </c>
      <c r="N38" s="15">
        <f t="shared" si="0"/>
        <v>0.18433235867446393</v>
      </c>
    </row>
    <row r="39" spans="1:14" x14ac:dyDescent="0.3">
      <c r="A39" s="10" t="s">
        <v>137</v>
      </c>
      <c r="B39" s="11" t="s">
        <v>33</v>
      </c>
      <c r="C39" s="12">
        <v>45640</v>
      </c>
      <c r="D39" s="11" t="s">
        <v>45</v>
      </c>
      <c r="E39" s="11" t="s">
        <v>88</v>
      </c>
      <c r="F39" s="11">
        <v>2174</v>
      </c>
      <c r="G39" s="11">
        <v>658</v>
      </c>
      <c r="H39" s="11">
        <v>15</v>
      </c>
      <c r="I39" s="11">
        <v>13044</v>
      </c>
      <c r="J39" s="11">
        <v>12206</v>
      </c>
      <c r="K39" s="11">
        <v>137</v>
      </c>
      <c r="L39" s="11" t="s">
        <v>30</v>
      </c>
      <c r="M39" s="11" t="s">
        <v>31</v>
      </c>
      <c r="N39" s="15">
        <f t="shared" si="0"/>
        <v>0.21826126954921804</v>
      </c>
    </row>
    <row r="40" spans="1:14" x14ac:dyDescent="0.3">
      <c r="A40" s="7" t="s">
        <v>141</v>
      </c>
      <c r="B40" s="8" t="s">
        <v>43</v>
      </c>
      <c r="C40" s="9">
        <v>45597</v>
      </c>
      <c r="D40" s="8" t="s">
        <v>74</v>
      </c>
      <c r="E40" s="8" t="s">
        <v>75</v>
      </c>
      <c r="F40" s="8">
        <v>3371</v>
      </c>
      <c r="G40" s="8">
        <v>106</v>
      </c>
      <c r="H40" s="8">
        <v>327</v>
      </c>
      <c r="I40" s="8">
        <v>50565</v>
      </c>
      <c r="J40" s="8">
        <v>49816</v>
      </c>
      <c r="K40" s="8">
        <v>176</v>
      </c>
      <c r="L40" s="8" t="s">
        <v>62</v>
      </c>
      <c r="M40" s="8" t="s">
        <v>19</v>
      </c>
      <c r="N40" s="15">
        <f t="shared" si="0"/>
        <v>7.5229902106199939E-2</v>
      </c>
    </row>
    <row r="41" spans="1:14" x14ac:dyDescent="0.3">
      <c r="A41" s="10" t="s">
        <v>143</v>
      </c>
      <c r="B41" s="11" t="s">
        <v>14</v>
      </c>
      <c r="C41" s="12">
        <v>45779</v>
      </c>
      <c r="D41" s="11" t="s">
        <v>74</v>
      </c>
      <c r="E41" s="11" t="s">
        <v>145</v>
      </c>
      <c r="F41" s="11">
        <v>1108</v>
      </c>
      <c r="G41" s="11">
        <v>177</v>
      </c>
      <c r="H41" s="11">
        <v>212</v>
      </c>
      <c r="I41" s="11">
        <v>8864</v>
      </c>
      <c r="J41" s="11">
        <v>8710</v>
      </c>
      <c r="K41" s="11">
        <v>97</v>
      </c>
      <c r="L41" s="11" t="s">
        <v>30</v>
      </c>
      <c r="M41" s="11" t="s">
        <v>38</v>
      </c>
      <c r="N41" s="15">
        <f t="shared" si="0"/>
        <v>0.16888537906137185</v>
      </c>
    </row>
    <row r="42" spans="1:14" x14ac:dyDescent="0.3">
      <c r="A42" s="7" t="s">
        <v>150</v>
      </c>
      <c r="B42" s="8" t="s">
        <v>14</v>
      </c>
      <c r="C42" s="9">
        <v>45453</v>
      </c>
      <c r="D42" s="8" t="s">
        <v>35</v>
      </c>
      <c r="E42" s="8" t="s">
        <v>149</v>
      </c>
      <c r="F42" s="8">
        <v>2164</v>
      </c>
      <c r="G42" s="8">
        <v>549</v>
      </c>
      <c r="H42" s="8">
        <v>274</v>
      </c>
      <c r="I42" s="8">
        <v>28132</v>
      </c>
      <c r="J42" s="8">
        <v>27361</v>
      </c>
      <c r="K42" s="8">
        <v>177</v>
      </c>
      <c r="L42" s="8" t="s">
        <v>30</v>
      </c>
      <c r="M42" s="8" t="s">
        <v>38</v>
      </c>
      <c r="N42" s="15">
        <f t="shared" si="0"/>
        <v>0.10617801791554102</v>
      </c>
    </row>
    <row r="43" spans="1:14" x14ac:dyDescent="0.3">
      <c r="A43" s="10" t="s">
        <v>152</v>
      </c>
      <c r="B43" s="11" t="s">
        <v>27</v>
      </c>
      <c r="C43" s="12">
        <v>45476</v>
      </c>
      <c r="D43" s="11" t="s">
        <v>35</v>
      </c>
      <c r="E43" s="11" t="s">
        <v>154</v>
      </c>
      <c r="F43" s="11">
        <v>2754</v>
      </c>
      <c r="G43" s="11">
        <v>130</v>
      </c>
      <c r="H43" s="11">
        <v>90</v>
      </c>
      <c r="I43" s="11">
        <v>22032</v>
      </c>
      <c r="J43" s="11">
        <v>21288</v>
      </c>
      <c r="K43" s="11">
        <v>112</v>
      </c>
      <c r="L43" s="11" t="s">
        <v>30</v>
      </c>
      <c r="M43" s="11" t="s">
        <v>31</v>
      </c>
      <c r="N43" s="15">
        <f t="shared" si="0"/>
        <v>0.13498547567175018</v>
      </c>
    </row>
    <row r="44" spans="1:14" x14ac:dyDescent="0.3">
      <c r="A44" s="7" t="s">
        <v>155</v>
      </c>
      <c r="B44" s="8" t="s">
        <v>43</v>
      </c>
      <c r="C44" s="9">
        <v>45456</v>
      </c>
      <c r="D44" s="8" t="s">
        <v>45</v>
      </c>
      <c r="E44" s="8" t="s">
        <v>46</v>
      </c>
      <c r="F44" s="8">
        <v>2200</v>
      </c>
      <c r="G44" s="8">
        <v>504</v>
      </c>
      <c r="H44" s="8">
        <v>239</v>
      </c>
      <c r="I44" s="8">
        <v>37400</v>
      </c>
      <c r="J44" s="8">
        <v>36938</v>
      </c>
      <c r="K44" s="8">
        <v>225</v>
      </c>
      <c r="L44" s="8" t="s">
        <v>62</v>
      </c>
      <c r="M44" s="8" t="s">
        <v>25</v>
      </c>
      <c r="N44" s="15">
        <f t="shared" si="0"/>
        <v>7.8689839572192513E-2</v>
      </c>
    </row>
    <row r="45" spans="1:14" x14ac:dyDescent="0.3">
      <c r="A45" s="10" t="s">
        <v>157</v>
      </c>
      <c r="B45" s="11" t="s">
        <v>43</v>
      </c>
      <c r="C45" s="12">
        <v>45660</v>
      </c>
      <c r="D45" s="11" t="s">
        <v>52</v>
      </c>
      <c r="E45" s="11" t="s">
        <v>59</v>
      </c>
      <c r="F45" s="11">
        <v>947</v>
      </c>
      <c r="G45" s="11">
        <v>338</v>
      </c>
      <c r="H45" s="11">
        <v>350</v>
      </c>
      <c r="I45" s="11">
        <v>10417</v>
      </c>
      <c r="J45" s="11">
        <v>9730</v>
      </c>
      <c r="K45" s="11">
        <v>34</v>
      </c>
      <c r="L45" s="11" t="s">
        <v>30</v>
      </c>
      <c r="M45" s="11" t="s">
        <v>38</v>
      </c>
      <c r="N45" s="15">
        <f t="shared" si="0"/>
        <v>0.1569549774407219</v>
      </c>
    </row>
    <row r="46" spans="1:14" x14ac:dyDescent="0.3">
      <c r="A46" s="7" t="s">
        <v>161</v>
      </c>
      <c r="B46" s="8" t="s">
        <v>27</v>
      </c>
      <c r="C46" s="9">
        <v>45729</v>
      </c>
      <c r="D46" s="8" t="s">
        <v>45</v>
      </c>
      <c r="E46" s="8" t="s">
        <v>68</v>
      </c>
      <c r="F46" s="8">
        <v>1686</v>
      </c>
      <c r="G46" s="8">
        <v>904</v>
      </c>
      <c r="H46" s="8">
        <v>472</v>
      </c>
      <c r="I46" s="8">
        <v>18546</v>
      </c>
      <c r="J46" s="8">
        <v>18171</v>
      </c>
      <c r="K46" s="8">
        <v>52</v>
      </c>
      <c r="L46" s="8" t="s">
        <v>62</v>
      </c>
      <c r="M46" s="8" t="s">
        <v>25</v>
      </c>
      <c r="N46" s="15">
        <f t="shared" si="0"/>
        <v>0.16510298716704411</v>
      </c>
    </row>
    <row r="47" spans="1:14" x14ac:dyDescent="0.3">
      <c r="A47" s="10" t="s">
        <v>163</v>
      </c>
      <c r="B47" s="11" t="s">
        <v>43</v>
      </c>
      <c r="C47" s="12">
        <v>45460</v>
      </c>
      <c r="D47" s="11" t="s">
        <v>52</v>
      </c>
      <c r="E47" s="11" t="s">
        <v>59</v>
      </c>
      <c r="F47" s="11">
        <v>1226</v>
      </c>
      <c r="G47" s="11">
        <v>119</v>
      </c>
      <c r="H47" s="11">
        <v>7</v>
      </c>
      <c r="I47" s="11">
        <v>14712</v>
      </c>
      <c r="J47" s="11">
        <v>14049</v>
      </c>
      <c r="K47" s="11">
        <v>123</v>
      </c>
      <c r="L47" s="11" t="s">
        <v>37</v>
      </c>
      <c r="M47" s="11" t="s">
        <v>38</v>
      </c>
      <c r="N47" s="15">
        <f t="shared" si="0"/>
        <v>9.1897770527460579E-2</v>
      </c>
    </row>
    <row r="48" spans="1:14" x14ac:dyDescent="0.3">
      <c r="A48" s="7" t="s">
        <v>165</v>
      </c>
      <c r="B48" s="8" t="s">
        <v>43</v>
      </c>
      <c r="C48" s="9">
        <v>45644</v>
      </c>
      <c r="D48" s="8" t="s">
        <v>45</v>
      </c>
      <c r="E48" s="8" t="s">
        <v>46</v>
      </c>
      <c r="F48" s="8">
        <v>2946</v>
      </c>
      <c r="G48" s="8">
        <v>498</v>
      </c>
      <c r="H48" s="8">
        <v>367</v>
      </c>
      <c r="I48" s="8">
        <v>29460</v>
      </c>
      <c r="J48" s="8">
        <v>28527</v>
      </c>
      <c r="K48" s="8">
        <v>60</v>
      </c>
      <c r="L48" s="8" t="s">
        <v>62</v>
      </c>
      <c r="M48" s="8" t="s">
        <v>31</v>
      </c>
      <c r="N48" s="15">
        <f t="shared" si="0"/>
        <v>0.12936184657162253</v>
      </c>
    </row>
    <row r="49" spans="1:14" x14ac:dyDescent="0.3">
      <c r="A49" s="10" t="s">
        <v>167</v>
      </c>
      <c r="B49" s="11" t="s">
        <v>14</v>
      </c>
      <c r="C49" s="12">
        <v>45586</v>
      </c>
      <c r="D49" s="11" t="s">
        <v>74</v>
      </c>
      <c r="E49" s="11" t="s">
        <v>145</v>
      </c>
      <c r="F49" s="11">
        <v>2825</v>
      </c>
      <c r="G49" s="11">
        <v>535</v>
      </c>
      <c r="H49" s="11">
        <v>295</v>
      </c>
      <c r="I49" s="11">
        <v>45200</v>
      </c>
      <c r="J49" s="11">
        <v>44739</v>
      </c>
      <c r="K49" s="11">
        <v>169</v>
      </c>
      <c r="L49" s="11" t="s">
        <v>30</v>
      </c>
      <c r="M49" s="11" t="s">
        <v>19</v>
      </c>
      <c r="N49" s="15">
        <f t="shared" si="0"/>
        <v>8.0862831858407078E-2</v>
      </c>
    </row>
    <row r="50" spans="1:14" x14ac:dyDescent="0.3">
      <c r="A50" s="7" t="s">
        <v>169</v>
      </c>
      <c r="B50" s="8" t="s">
        <v>33</v>
      </c>
      <c r="C50" s="9">
        <v>45762</v>
      </c>
      <c r="D50" s="8" t="s">
        <v>16</v>
      </c>
      <c r="E50" s="8" t="s">
        <v>82</v>
      </c>
      <c r="F50" s="8">
        <v>103</v>
      </c>
      <c r="G50" s="8">
        <v>770</v>
      </c>
      <c r="H50" s="8">
        <v>19</v>
      </c>
      <c r="I50" s="8">
        <v>1030</v>
      </c>
      <c r="J50" s="8">
        <v>410</v>
      </c>
      <c r="K50" s="8">
        <v>262</v>
      </c>
      <c r="L50" s="8" t="s">
        <v>30</v>
      </c>
      <c r="M50" s="8" t="s">
        <v>38</v>
      </c>
      <c r="N50" s="15">
        <f t="shared" si="0"/>
        <v>0.86601941747572819</v>
      </c>
    </row>
    <row r="51" spans="1:14" x14ac:dyDescent="0.3">
      <c r="A51" s="10" t="s">
        <v>173</v>
      </c>
      <c r="B51" s="11" t="s">
        <v>33</v>
      </c>
      <c r="C51" s="12">
        <v>45685</v>
      </c>
      <c r="D51" s="11" t="s">
        <v>74</v>
      </c>
      <c r="E51" s="11" t="s">
        <v>85</v>
      </c>
      <c r="F51" s="11">
        <v>904</v>
      </c>
      <c r="G51" s="11">
        <v>973</v>
      </c>
      <c r="H51" s="11">
        <v>63</v>
      </c>
      <c r="I51" s="11">
        <v>11752</v>
      </c>
      <c r="J51" s="11">
        <v>11580</v>
      </c>
      <c r="K51" s="11">
        <v>84</v>
      </c>
      <c r="L51" s="11" t="s">
        <v>37</v>
      </c>
      <c r="M51" s="11" t="s">
        <v>31</v>
      </c>
      <c r="N51" s="15">
        <f t="shared" si="0"/>
        <v>0.1650782845473111</v>
      </c>
    </row>
    <row r="52" spans="1:14" x14ac:dyDescent="0.3">
      <c r="A52" s="7" t="s">
        <v>176</v>
      </c>
      <c r="B52" s="8" t="s">
        <v>14</v>
      </c>
      <c r="C52" s="9">
        <v>45540</v>
      </c>
      <c r="D52" s="8" t="s">
        <v>74</v>
      </c>
      <c r="E52" s="8" t="s">
        <v>145</v>
      </c>
      <c r="F52" s="8">
        <v>4886</v>
      </c>
      <c r="G52" s="8">
        <v>983</v>
      </c>
      <c r="H52" s="8">
        <v>409</v>
      </c>
      <c r="I52" s="8">
        <v>43974</v>
      </c>
      <c r="J52" s="8">
        <v>43239</v>
      </c>
      <c r="K52" s="8">
        <v>65</v>
      </c>
      <c r="L52" s="8" t="s">
        <v>30</v>
      </c>
      <c r="M52" s="8" t="s">
        <v>19</v>
      </c>
      <c r="N52" s="15">
        <f t="shared" si="0"/>
        <v>0.14276618001546368</v>
      </c>
    </row>
    <row r="53" spans="1:14" x14ac:dyDescent="0.3">
      <c r="A53" s="10" t="s">
        <v>178</v>
      </c>
      <c r="B53" s="11" t="s">
        <v>14</v>
      </c>
      <c r="C53" s="12">
        <v>45618</v>
      </c>
      <c r="D53" s="11" t="s">
        <v>45</v>
      </c>
      <c r="E53" s="11" t="s">
        <v>49</v>
      </c>
      <c r="F53" s="11">
        <v>53</v>
      </c>
      <c r="G53" s="11">
        <v>81</v>
      </c>
      <c r="H53" s="11">
        <v>379</v>
      </c>
      <c r="I53" s="11">
        <v>954</v>
      </c>
      <c r="J53" s="11">
        <v>7</v>
      </c>
      <c r="K53" s="11">
        <v>148</v>
      </c>
      <c r="L53" s="11" t="s">
        <v>30</v>
      </c>
      <c r="M53" s="11" t="s">
        <v>31</v>
      </c>
      <c r="N53" s="15">
        <f t="shared" si="0"/>
        <v>0.53773584905660377</v>
      </c>
    </row>
    <row r="54" spans="1:14" x14ac:dyDescent="0.3">
      <c r="A54" s="7" t="s">
        <v>180</v>
      </c>
      <c r="B54" s="8" t="s">
        <v>14</v>
      </c>
      <c r="C54" s="9">
        <v>45504</v>
      </c>
      <c r="D54" s="8" t="s">
        <v>45</v>
      </c>
      <c r="E54" s="8" t="s">
        <v>49</v>
      </c>
      <c r="F54" s="8">
        <v>4507</v>
      </c>
      <c r="G54" s="8">
        <v>217</v>
      </c>
      <c r="H54" s="8">
        <v>13</v>
      </c>
      <c r="I54" s="8">
        <v>90140</v>
      </c>
      <c r="J54" s="8">
        <v>89591</v>
      </c>
      <c r="K54" s="8">
        <v>125</v>
      </c>
      <c r="L54" s="8" t="s">
        <v>62</v>
      </c>
      <c r="M54" s="8" t="s">
        <v>31</v>
      </c>
      <c r="N54" s="15">
        <f t="shared" si="0"/>
        <v>5.2551586421122697E-2</v>
      </c>
    </row>
    <row r="55" spans="1:14" x14ac:dyDescent="0.3">
      <c r="A55" s="10" t="s">
        <v>181</v>
      </c>
      <c r="B55" s="11" t="s">
        <v>43</v>
      </c>
      <c r="C55" s="12">
        <v>45521</v>
      </c>
      <c r="D55" s="11" t="s">
        <v>52</v>
      </c>
      <c r="E55" s="11" t="s">
        <v>59</v>
      </c>
      <c r="F55" s="11">
        <v>2878</v>
      </c>
      <c r="G55" s="11">
        <v>248</v>
      </c>
      <c r="H55" s="11">
        <v>416</v>
      </c>
      <c r="I55" s="11">
        <v>43170</v>
      </c>
      <c r="J55" s="11">
        <v>42667</v>
      </c>
      <c r="K55" s="11">
        <v>75</v>
      </c>
      <c r="L55" s="11" t="s">
        <v>62</v>
      </c>
      <c r="M55" s="11" t="s">
        <v>31</v>
      </c>
      <c r="N55" s="15">
        <f t="shared" si="0"/>
        <v>8.2047718322909427E-2</v>
      </c>
    </row>
    <row r="56" spans="1:14" x14ac:dyDescent="0.3">
      <c r="A56" s="7" t="s">
        <v>185</v>
      </c>
      <c r="B56" s="8" t="s">
        <v>14</v>
      </c>
      <c r="C56" s="9">
        <v>45499</v>
      </c>
      <c r="D56" s="8" t="s">
        <v>45</v>
      </c>
      <c r="E56" s="8" t="s">
        <v>49</v>
      </c>
      <c r="F56" s="8">
        <v>432</v>
      </c>
      <c r="G56" s="8">
        <v>171</v>
      </c>
      <c r="H56" s="8">
        <v>280</v>
      </c>
      <c r="I56" s="8">
        <v>3024</v>
      </c>
      <c r="J56" s="8">
        <v>2285</v>
      </c>
      <c r="K56" s="8">
        <v>184</v>
      </c>
      <c r="L56" s="8" t="s">
        <v>37</v>
      </c>
      <c r="M56" s="8" t="s">
        <v>19</v>
      </c>
      <c r="N56" s="15">
        <f t="shared" si="0"/>
        <v>0.29199735449735448</v>
      </c>
    </row>
    <row r="57" spans="1:14" x14ac:dyDescent="0.3">
      <c r="A57" s="10" t="s">
        <v>187</v>
      </c>
      <c r="B57" s="11" t="s">
        <v>43</v>
      </c>
      <c r="C57" s="12">
        <v>45745</v>
      </c>
      <c r="D57" s="11" t="s">
        <v>45</v>
      </c>
      <c r="E57" s="11" t="s">
        <v>46</v>
      </c>
      <c r="F57" s="11">
        <v>4712</v>
      </c>
      <c r="G57" s="11">
        <v>568</v>
      </c>
      <c r="H57" s="11">
        <v>127</v>
      </c>
      <c r="I57" s="11">
        <v>84816</v>
      </c>
      <c r="J57" s="11">
        <v>84691</v>
      </c>
      <c r="K57" s="11">
        <v>100</v>
      </c>
      <c r="L57" s="11" t="s">
        <v>37</v>
      </c>
      <c r="M57" s="11" t="s">
        <v>31</v>
      </c>
      <c r="N57" s="15">
        <f t="shared" si="0"/>
        <v>6.3749764195434822E-2</v>
      </c>
    </row>
    <row r="58" spans="1:14" x14ac:dyDescent="0.3">
      <c r="A58" s="7" t="s">
        <v>191</v>
      </c>
      <c r="B58" s="8" t="s">
        <v>14</v>
      </c>
      <c r="C58" s="9">
        <v>45724</v>
      </c>
      <c r="D58" s="8" t="s">
        <v>22</v>
      </c>
      <c r="E58" s="8" t="s">
        <v>23</v>
      </c>
      <c r="F58" s="8">
        <v>1292</v>
      </c>
      <c r="G58" s="8">
        <v>626</v>
      </c>
      <c r="H58" s="8">
        <v>496</v>
      </c>
      <c r="I58" s="8">
        <v>25840</v>
      </c>
      <c r="J58" s="8">
        <v>24916</v>
      </c>
      <c r="K58" s="8">
        <v>149</v>
      </c>
      <c r="L58" s="8" t="s">
        <v>62</v>
      </c>
      <c r="M58" s="8" t="s">
        <v>31</v>
      </c>
      <c r="N58" s="15">
        <f t="shared" si="0"/>
        <v>9.3421052631578946E-2</v>
      </c>
    </row>
    <row r="59" spans="1:14" x14ac:dyDescent="0.3">
      <c r="A59" s="10" t="s">
        <v>194</v>
      </c>
      <c r="B59" s="11" t="s">
        <v>27</v>
      </c>
      <c r="C59" s="12">
        <v>45537</v>
      </c>
      <c r="D59" s="11" t="s">
        <v>45</v>
      </c>
      <c r="E59" s="11" t="s">
        <v>68</v>
      </c>
      <c r="F59" s="11">
        <v>2551</v>
      </c>
      <c r="G59" s="11">
        <v>915</v>
      </c>
      <c r="H59" s="11">
        <v>205</v>
      </c>
      <c r="I59" s="11">
        <v>30612</v>
      </c>
      <c r="J59" s="11">
        <v>30360</v>
      </c>
      <c r="K59" s="11">
        <v>227</v>
      </c>
      <c r="L59" s="11" t="s">
        <v>30</v>
      </c>
      <c r="M59" s="11" t="s">
        <v>25</v>
      </c>
      <c r="N59" s="15">
        <f t="shared" si="0"/>
        <v>0.1199202926956749</v>
      </c>
    </row>
    <row r="60" spans="1:14" x14ac:dyDescent="0.3">
      <c r="A60" s="7" t="s">
        <v>196</v>
      </c>
      <c r="B60" s="8" t="s">
        <v>27</v>
      </c>
      <c r="C60" s="9">
        <v>45719</v>
      </c>
      <c r="D60" s="8" t="s">
        <v>16</v>
      </c>
      <c r="E60" s="8" t="s">
        <v>29</v>
      </c>
      <c r="F60" s="8">
        <v>296</v>
      </c>
      <c r="G60" s="8">
        <v>60</v>
      </c>
      <c r="H60" s="8">
        <v>141</v>
      </c>
      <c r="I60" s="8">
        <v>5624</v>
      </c>
      <c r="J60" s="8">
        <v>5239</v>
      </c>
      <c r="K60" s="8">
        <v>88</v>
      </c>
      <c r="L60" s="8" t="s">
        <v>37</v>
      </c>
      <c r="M60" s="8" t="s">
        <v>25</v>
      </c>
      <c r="N60" s="15">
        <f t="shared" si="0"/>
        <v>8.837126600284495E-2</v>
      </c>
    </row>
    <row r="61" spans="1:14" x14ac:dyDescent="0.3">
      <c r="A61" s="10" t="s">
        <v>198</v>
      </c>
      <c r="B61" s="11" t="s">
        <v>43</v>
      </c>
      <c r="C61" s="12">
        <v>45583</v>
      </c>
      <c r="D61" s="11" t="s">
        <v>35</v>
      </c>
      <c r="E61" s="11" t="s">
        <v>71</v>
      </c>
      <c r="F61" s="11">
        <v>4126</v>
      </c>
      <c r="G61" s="11">
        <v>426</v>
      </c>
      <c r="H61" s="11">
        <v>486</v>
      </c>
      <c r="I61" s="11">
        <v>78394</v>
      </c>
      <c r="J61" s="11">
        <v>77798</v>
      </c>
      <c r="K61" s="11">
        <v>88</v>
      </c>
      <c r="L61" s="11" t="s">
        <v>62</v>
      </c>
      <c r="M61" s="11" t="s">
        <v>38</v>
      </c>
      <c r="N61" s="15">
        <f t="shared" si="0"/>
        <v>6.4265122330790625E-2</v>
      </c>
    </row>
    <row r="62" spans="1:14" x14ac:dyDescent="0.3">
      <c r="A62" s="7" t="s">
        <v>200</v>
      </c>
      <c r="B62" s="8" t="s">
        <v>27</v>
      </c>
      <c r="C62" s="9">
        <v>45593</v>
      </c>
      <c r="D62" s="8" t="s">
        <v>16</v>
      </c>
      <c r="E62" s="8" t="s">
        <v>29</v>
      </c>
      <c r="F62" s="8">
        <v>1855</v>
      </c>
      <c r="G62" s="8">
        <v>200</v>
      </c>
      <c r="H62" s="8">
        <v>174</v>
      </c>
      <c r="I62" s="8">
        <v>16695</v>
      </c>
      <c r="J62" s="8">
        <v>16330</v>
      </c>
      <c r="K62" s="8">
        <v>123</v>
      </c>
      <c r="L62" s="8" t="s">
        <v>30</v>
      </c>
      <c r="M62" s="8" t="s">
        <v>31</v>
      </c>
      <c r="N62" s="15">
        <f t="shared" si="0"/>
        <v>0.13351302785265048</v>
      </c>
    </row>
    <row r="63" spans="1:14" x14ac:dyDescent="0.3">
      <c r="A63" s="10" t="s">
        <v>202</v>
      </c>
      <c r="B63" s="11" t="s">
        <v>33</v>
      </c>
      <c r="C63" s="12">
        <v>45505</v>
      </c>
      <c r="D63" s="11" t="s">
        <v>16</v>
      </c>
      <c r="E63" s="11" t="s">
        <v>82</v>
      </c>
      <c r="F63" s="11">
        <v>1674</v>
      </c>
      <c r="G63" s="11">
        <v>929</v>
      </c>
      <c r="H63" s="11">
        <v>37</v>
      </c>
      <c r="I63" s="11">
        <v>21762</v>
      </c>
      <c r="J63" s="11">
        <v>20998</v>
      </c>
      <c r="K63" s="11">
        <v>255</v>
      </c>
      <c r="L63" s="11" t="s">
        <v>30</v>
      </c>
      <c r="M63" s="11" t="s">
        <v>38</v>
      </c>
      <c r="N63" s="15">
        <f t="shared" si="0"/>
        <v>0.12131237937689551</v>
      </c>
    </row>
    <row r="64" spans="1:14" x14ac:dyDescent="0.3">
      <c r="A64" s="7" t="s">
        <v>204</v>
      </c>
      <c r="B64" s="8" t="s">
        <v>14</v>
      </c>
      <c r="C64" s="9">
        <v>45603</v>
      </c>
      <c r="D64" s="8" t="s">
        <v>35</v>
      </c>
      <c r="E64" s="8" t="s">
        <v>149</v>
      </c>
      <c r="F64" s="8">
        <v>1121</v>
      </c>
      <c r="G64" s="8">
        <v>135</v>
      </c>
      <c r="H64" s="8">
        <v>18</v>
      </c>
      <c r="I64" s="8">
        <v>15694</v>
      </c>
      <c r="J64" s="8">
        <v>14957</v>
      </c>
      <c r="K64" s="8">
        <v>99</v>
      </c>
      <c r="L64" s="8" t="s">
        <v>30</v>
      </c>
      <c r="M64" s="8" t="s">
        <v>38</v>
      </c>
      <c r="N64" s="15">
        <f t="shared" si="0"/>
        <v>8.1177520071364848E-2</v>
      </c>
    </row>
    <row r="65" spans="1:14" x14ac:dyDescent="0.3">
      <c r="A65" s="10" t="s">
        <v>207</v>
      </c>
      <c r="B65" s="11" t="s">
        <v>14</v>
      </c>
      <c r="C65" s="12">
        <v>45460</v>
      </c>
      <c r="D65" s="11" t="s">
        <v>52</v>
      </c>
      <c r="E65" s="11" t="s">
        <v>132</v>
      </c>
      <c r="F65" s="11">
        <v>954</v>
      </c>
      <c r="G65" s="11">
        <v>324</v>
      </c>
      <c r="H65" s="11">
        <v>288</v>
      </c>
      <c r="I65" s="11">
        <v>19080</v>
      </c>
      <c r="J65" s="11">
        <v>18859</v>
      </c>
      <c r="K65" s="11">
        <v>21</v>
      </c>
      <c r="L65" s="11" t="s">
        <v>62</v>
      </c>
      <c r="M65" s="11" t="s">
        <v>38</v>
      </c>
      <c r="N65" s="15">
        <f t="shared" si="0"/>
        <v>8.2075471698113203E-2</v>
      </c>
    </row>
    <row r="66" spans="1:14" x14ac:dyDescent="0.3">
      <c r="A66" s="7" t="s">
        <v>208</v>
      </c>
      <c r="B66" s="8" t="s">
        <v>33</v>
      </c>
      <c r="C66" s="9">
        <v>45574</v>
      </c>
      <c r="D66" s="8" t="s">
        <v>45</v>
      </c>
      <c r="E66" s="8" t="s">
        <v>88</v>
      </c>
      <c r="F66" s="8">
        <v>3068</v>
      </c>
      <c r="G66" s="8">
        <v>137</v>
      </c>
      <c r="H66" s="8">
        <v>329</v>
      </c>
      <c r="I66" s="8">
        <v>39884</v>
      </c>
      <c r="J66" s="8">
        <v>39404</v>
      </c>
      <c r="K66" s="8">
        <v>266</v>
      </c>
      <c r="L66" s="8" t="s">
        <v>37</v>
      </c>
      <c r="M66" s="8" t="s">
        <v>25</v>
      </c>
      <c r="N66" s="15">
        <f t="shared" si="0"/>
        <v>8.860696018453515E-2</v>
      </c>
    </row>
    <row r="67" spans="1:14" x14ac:dyDescent="0.3">
      <c r="A67" s="10" t="s">
        <v>211</v>
      </c>
      <c r="B67" s="11" t="s">
        <v>33</v>
      </c>
      <c r="C67" s="12">
        <v>45584</v>
      </c>
      <c r="D67" s="11" t="s">
        <v>35</v>
      </c>
      <c r="E67" s="11" t="s">
        <v>36</v>
      </c>
      <c r="F67" s="11">
        <v>1816</v>
      </c>
      <c r="G67" s="11">
        <v>29</v>
      </c>
      <c r="H67" s="11">
        <v>41</v>
      </c>
      <c r="I67" s="11">
        <v>19976</v>
      </c>
      <c r="J67" s="11">
        <v>19262</v>
      </c>
      <c r="K67" s="11">
        <v>283</v>
      </c>
      <c r="L67" s="11" t="s">
        <v>30</v>
      </c>
      <c r="M67" s="11" t="s">
        <v>31</v>
      </c>
      <c r="N67" s="15">
        <f t="shared" ref="N67:N130" si="1">(F67+G67+H67)/I67</f>
        <v>9.4413295955146179E-2</v>
      </c>
    </row>
    <row r="68" spans="1:14" x14ac:dyDescent="0.3">
      <c r="A68" s="7" t="s">
        <v>213</v>
      </c>
      <c r="B68" s="8" t="s">
        <v>33</v>
      </c>
      <c r="C68" s="9">
        <v>45497</v>
      </c>
      <c r="D68" s="8" t="s">
        <v>52</v>
      </c>
      <c r="E68" s="8" t="s">
        <v>215</v>
      </c>
      <c r="F68" s="8">
        <v>725</v>
      </c>
      <c r="G68" s="8">
        <v>88</v>
      </c>
      <c r="H68" s="8">
        <v>428</v>
      </c>
      <c r="I68" s="8">
        <v>14500</v>
      </c>
      <c r="J68" s="8">
        <v>13637</v>
      </c>
      <c r="K68" s="8">
        <v>200</v>
      </c>
      <c r="L68" s="8" t="s">
        <v>62</v>
      </c>
      <c r="M68" s="8" t="s">
        <v>31</v>
      </c>
      <c r="N68" s="15">
        <f t="shared" si="1"/>
        <v>8.558620689655172E-2</v>
      </c>
    </row>
    <row r="69" spans="1:14" x14ac:dyDescent="0.3">
      <c r="A69" s="10" t="s">
        <v>220</v>
      </c>
      <c r="B69" s="11" t="s">
        <v>43</v>
      </c>
      <c r="C69" s="12">
        <v>45635</v>
      </c>
      <c r="D69" s="11" t="s">
        <v>52</v>
      </c>
      <c r="E69" s="11" t="s">
        <v>59</v>
      </c>
      <c r="F69" s="11">
        <v>1841</v>
      </c>
      <c r="G69" s="11">
        <v>851</v>
      </c>
      <c r="H69" s="11">
        <v>342</v>
      </c>
      <c r="I69" s="11">
        <v>34979</v>
      </c>
      <c r="J69" s="11">
        <v>34154</v>
      </c>
      <c r="K69" s="11">
        <v>255</v>
      </c>
      <c r="L69" s="11" t="s">
        <v>62</v>
      </c>
      <c r="M69" s="11" t="s">
        <v>38</v>
      </c>
      <c r="N69" s="15">
        <f t="shared" si="1"/>
        <v>8.6737756939878216E-2</v>
      </c>
    </row>
    <row r="70" spans="1:14" x14ac:dyDescent="0.3">
      <c r="A70" s="7" t="s">
        <v>222</v>
      </c>
      <c r="B70" s="8" t="s">
        <v>33</v>
      </c>
      <c r="C70" s="9">
        <v>45766</v>
      </c>
      <c r="D70" s="8" t="s">
        <v>52</v>
      </c>
      <c r="E70" s="8" t="s">
        <v>215</v>
      </c>
      <c r="F70" s="8">
        <v>4177</v>
      </c>
      <c r="G70" s="8">
        <v>569</v>
      </c>
      <c r="H70" s="8">
        <v>55</v>
      </c>
      <c r="I70" s="8">
        <v>25062</v>
      </c>
      <c r="J70" s="8">
        <v>24847</v>
      </c>
      <c r="K70" s="8">
        <v>230</v>
      </c>
      <c r="L70" s="8" t="s">
        <v>62</v>
      </c>
      <c r="M70" s="8" t="s">
        <v>19</v>
      </c>
      <c r="N70" s="15">
        <f t="shared" si="1"/>
        <v>0.19156491900087783</v>
      </c>
    </row>
    <row r="71" spans="1:14" x14ac:dyDescent="0.3">
      <c r="A71" s="10" t="s">
        <v>223</v>
      </c>
      <c r="B71" s="11" t="s">
        <v>27</v>
      </c>
      <c r="C71" s="12">
        <v>45684</v>
      </c>
      <c r="D71" s="11" t="s">
        <v>22</v>
      </c>
      <c r="E71" s="11" t="s">
        <v>104</v>
      </c>
      <c r="F71" s="11">
        <v>3428</v>
      </c>
      <c r="G71" s="11">
        <v>305</v>
      </c>
      <c r="H71" s="11">
        <v>85</v>
      </c>
      <c r="I71" s="11">
        <v>58276</v>
      </c>
      <c r="J71" s="11">
        <v>58052</v>
      </c>
      <c r="K71" s="11">
        <v>242</v>
      </c>
      <c r="L71" s="11" t="s">
        <v>37</v>
      </c>
      <c r="M71" s="11" t="s">
        <v>38</v>
      </c>
      <c r="N71" s="15">
        <f t="shared" si="1"/>
        <v>6.5515821264328367E-2</v>
      </c>
    </row>
    <row r="72" spans="1:14" x14ac:dyDescent="0.3">
      <c r="A72" s="7" t="s">
        <v>225</v>
      </c>
      <c r="B72" s="8" t="s">
        <v>14</v>
      </c>
      <c r="C72" s="9">
        <v>45449</v>
      </c>
      <c r="D72" s="8" t="s">
        <v>74</v>
      </c>
      <c r="E72" s="8" t="s">
        <v>145</v>
      </c>
      <c r="F72" s="8">
        <v>1436</v>
      </c>
      <c r="G72" s="8">
        <v>765</v>
      </c>
      <c r="H72" s="8">
        <v>496</v>
      </c>
      <c r="I72" s="8">
        <v>12924</v>
      </c>
      <c r="J72" s="8">
        <v>12701</v>
      </c>
      <c r="K72" s="8">
        <v>197</v>
      </c>
      <c r="L72" s="8" t="s">
        <v>62</v>
      </c>
      <c r="M72" s="8" t="s">
        <v>31</v>
      </c>
      <c r="N72" s="15">
        <f t="shared" si="1"/>
        <v>0.20868152274837512</v>
      </c>
    </row>
    <row r="73" spans="1:14" x14ac:dyDescent="0.3">
      <c r="A73" s="10" t="s">
        <v>227</v>
      </c>
      <c r="B73" s="11" t="s">
        <v>43</v>
      </c>
      <c r="C73" s="12">
        <v>45480</v>
      </c>
      <c r="D73" s="11" t="s">
        <v>35</v>
      </c>
      <c r="E73" s="11" t="s">
        <v>71</v>
      </c>
      <c r="F73" s="11">
        <v>302</v>
      </c>
      <c r="G73" s="11">
        <v>47</v>
      </c>
      <c r="H73" s="11">
        <v>430</v>
      </c>
      <c r="I73" s="11">
        <v>5738</v>
      </c>
      <c r="J73" s="11">
        <v>4890</v>
      </c>
      <c r="K73" s="11">
        <v>25</v>
      </c>
      <c r="L73" s="11" t="s">
        <v>30</v>
      </c>
      <c r="M73" s="11" t="s">
        <v>38</v>
      </c>
      <c r="N73" s="15">
        <f t="shared" si="1"/>
        <v>0.13576158940397351</v>
      </c>
    </row>
    <row r="74" spans="1:14" x14ac:dyDescent="0.3">
      <c r="A74" s="7" t="s">
        <v>231</v>
      </c>
      <c r="B74" s="8" t="s">
        <v>33</v>
      </c>
      <c r="C74" s="9">
        <v>45446</v>
      </c>
      <c r="D74" s="8" t="s">
        <v>52</v>
      </c>
      <c r="E74" s="8" t="s">
        <v>215</v>
      </c>
      <c r="F74" s="8">
        <v>3861</v>
      </c>
      <c r="G74" s="8">
        <v>960</v>
      </c>
      <c r="H74" s="8">
        <v>101</v>
      </c>
      <c r="I74" s="8">
        <v>69498</v>
      </c>
      <c r="J74" s="8">
        <v>68817</v>
      </c>
      <c r="K74" s="8">
        <v>297</v>
      </c>
      <c r="L74" s="8" t="s">
        <v>30</v>
      </c>
      <c r="M74" s="8" t="s">
        <v>38</v>
      </c>
      <c r="N74" s="15">
        <f t="shared" si="1"/>
        <v>7.0822181933293038E-2</v>
      </c>
    </row>
    <row r="75" spans="1:14" x14ac:dyDescent="0.3">
      <c r="A75" s="10" t="s">
        <v>233</v>
      </c>
      <c r="B75" s="11" t="s">
        <v>43</v>
      </c>
      <c r="C75" s="12">
        <v>45740</v>
      </c>
      <c r="D75" s="11" t="s">
        <v>52</v>
      </c>
      <c r="E75" s="11" t="s">
        <v>59</v>
      </c>
      <c r="F75" s="11">
        <v>1263</v>
      </c>
      <c r="G75" s="11">
        <v>397</v>
      </c>
      <c r="H75" s="11">
        <v>357</v>
      </c>
      <c r="I75" s="11">
        <v>25260</v>
      </c>
      <c r="J75" s="11">
        <v>24615</v>
      </c>
      <c r="K75" s="11">
        <v>137</v>
      </c>
      <c r="L75" s="11" t="s">
        <v>37</v>
      </c>
      <c r="M75" s="11" t="s">
        <v>38</v>
      </c>
      <c r="N75" s="15">
        <f t="shared" si="1"/>
        <v>7.984956452889945E-2</v>
      </c>
    </row>
    <row r="76" spans="1:14" x14ac:dyDescent="0.3">
      <c r="A76" s="7" t="s">
        <v>235</v>
      </c>
      <c r="B76" s="8" t="s">
        <v>14</v>
      </c>
      <c r="C76" s="9">
        <v>45586</v>
      </c>
      <c r="D76" s="8" t="s">
        <v>35</v>
      </c>
      <c r="E76" s="8" t="s">
        <v>149</v>
      </c>
      <c r="F76" s="8">
        <v>3801</v>
      </c>
      <c r="G76" s="8">
        <v>967</v>
      </c>
      <c r="H76" s="8">
        <v>401</v>
      </c>
      <c r="I76" s="8">
        <v>38010</v>
      </c>
      <c r="J76" s="8">
        <v>37625</v>
      </c>
      <c r="K76" s="8">
        <v>236</v>
      </c>
      <c r="L76" s="8" t="s">
        <v>62</v>
      </c>
      <c r="M76" s="8" t="s">
        <v>31</v>
      </c>
      <c r="N76" s="15">
        <f t="shared" si="1"/>
        <v>0.13599052880820836</v>
      </c>
    </row>
    <row r="77" spans="1:14" x14ac:dyDescent="0.3">
      <c r="A77" s="10" t="s">
        <v>236</v>
      </c>
      <c r="B77" s="11" t="s">
        <v>33</v>
      </c>
      <c r="C77" s="12">
        <v>45637</v>
      </c>
      <c r="D77" s="11" t="s">
        <v>74</v>
      </c>
      <c r="E77" s="11" t="s">
        <v>85</v>
      </c>
      <c r="F77" s="11">
        <v>1431</v>
      </c>
      <c r="G77" s="11">
        <v>951</v>
      </c>
      <c r="H77" s="11">
        <v>26</v>
      </c>
      <c r="I77" s="11">
        <v>8586</v>
      </c>
      <c r="J77" s="11">
        <v>8396</v>
      </c>
      <c r="K77" s="11">
        <v>150</v>
      </c>
      <c r="L77" s="11" t="s">
        <v>37</v>
      </c>
      <c r="M77" s="11" t="s">
        <v>31</v>
      </c>
      <c r="N77" s="15">
        <f t="shared" si="1"/>
        <v>0.28045655718611695</v>
      </c>
    </row>
    <row r="78" spans="1:14" x14ac:dyDescent="0.3">
      <c r="A78" s="7" t="s">
        <v>238</v>
      </c>
      <c r="B78" s="8" t="s">
        <v>33</v>
      </c>
      <c r="C78" s="9">
        <v>45603</v>
      </c>
      <c r="D78" s="8" t="s">
        <v>52</v>
      </c>
      <c r="E78" s="8" t="s">
        <v>215</v>
      </c>
      <c r="F78" s="8">
        <v>2647</v>
      </c>
      <c r="G78" s="8">
        <v>304</v>
      </c>
      <c r="H78" s="8">
        <v>170</v>
      </c>
      <c r="I78" s="8">
        <v>18529</v>
      </c>
      <c r="J78" s="8">
        <v>17841</v>
      </c>
      <c r="K78" s="8">
        <v>46</v>
      </c>
      <c r="L78" s="8" t="s">
        <v>62</v>
      </c>
      <c r="M78" s="8" t="s">
        <v>31</v>
      </c>
      <c r="N78" s="15">
        <f t="shared" si="1"/>
        <v>0.16843866371633656</v>
      </c>
    </row>
    <row r="79" spans="1:14" x14ac:dyDescent="0.3">
      <c r="A79" s="10" t="s">
        <v>239</v>
      </c>
      <c r="B79" s="11" t="s">
        <v>33</v>
      </c>
      <c r="C79" s="12">
        <v>45604</v>
      </c>
      <c r="D79" s="11" t="s">
        <v>22</v>
      </c>
      <c r="E79" s="11" t="s">
        <v>113</v>
      </c>
      <c r="F79" s="11">
        <v>3182</v>
      </c>
      <c r="G79" s="11">
        <v>559</v>
      </c>
      <c r="H79" s="11">
        <v>160</v>
      </c>
      <c r="I79" s="11">
        <v>57276</v>
      </c>
      <c r="J79" s="11">
        <v>56890</v>
      </c>
      <c r="K79" s="11">
        <v>163</v>
      </c>
      <c r="L79" s="11" t="s">
        <v>62</v>
      </c>
      <c r="M79" s="11" t="s">
        <v>38</v>
      </c>
      <c r="N79" s="15">
        <f t="shared" si="1"/>
        <v>6.8108806480899509E-2</v>
      </c>
    </row>
    <row r="80" spans="1:14" x14ac:dyDescent="0.3">
      <c r="A80" s="7" t="s">
        <v>243</v>
      </c>
      <c r="B80" s="8" t="s">
        <v>33</v>
      </c>
      <c r="C80" s="9">
        <v>45517</v>
      </c>
      <c r="D80" s="8" t="s">
        <v>52</v>
      </c>
      <c r="E80" s="8" t="s">
        <v>215</v>
      </c>
      <c r="F80" s="8">
        <v>4739</v>
      </c>
      <c r="G80" s="8">
        <v>527</v>
      </c>
      <c r="H80" s="8">
        <v>135</v>
      </c>
      <c r="I80" s="8">
        <v>61607</v>
      </c>
      <c r="J80" s="8">
        <v>61333</v>
      </c>
      <c r="K80" s="8">
        <v>36</v>
      </c>
      <c r="L80" s="8" t="s">
        <v>30</v>
      </c>
      <c r="M80" s="8" t="s">
        <v>25</v>
      </c>
      <c r="N80" s="15">
        <f t="shared" si="1"/>
        <v>8.7668609086629767E-2</v>
      </c>
    </row>
    <row r="81" spans="1:14" x14ac:dyDescent="0.3">
      <c r="A81" s="10" t="s">
        <v>245</v>
      </c>
      <c r="B81" s="11" t="s">
        <v>14</v>
      </c>
      <c r="C81" s="12">
        <v>45453</v>
      </c>
      <c r="D81" s="11" t="s">
        <v>35</v>
      </c>
      <c r="E81" s="11" t="s">
        <v>149</v>
      </c>
      <c r="F81" s="11">
        <v>1575</v>
      </c>
      <c r="G81" s="11">
        <v>771</v>
      </c>
      <c r="H81" s="11">
        <v>486</v>
      </c>
      <c r="I81" s="11">
        <v>25200</v>
      </c>
      <c r="J81" s="11">
        <v>24826</v>
      </c>
      <c r="K81" s="11">
        <v>17</v>
      </c>
      <c r="L81" s="11" t="s">
        <v>62</v>
      </c>
      <c r="M81" s="11" t="s">
        <v>38</v>
      </c>
      <c r="N81" s="15">
        <f t="shared" si="1"/>
        <v>0.11238095238095239</v>
      </c>
    </row>
    <row r="82" spans="1:14" x14ac:dyDescent="0.3">
      <c r="A82" s="7" t="s">
        <v>246</v>
      </c>
      <c r="B82" s="8" t="s">
        <v>27</v>
      </c>
      <c r="C82" s="9">
        <v>45475</v>
      </c>
      <c r="D82" s="8" t="s">
        <v>45</v>
      </c>
      <c r="E82" s="8" t="s">
        <v>68</v>
      </c>
      <c r="F82" s="8">
        <v>4171</v>
      </c>
      <c r="G82" s="8">
        <v>548</v>
      </c>
      <c r="H82" s="8">
        <v>86</v>
      </c>
      <c r="I82" s="8">
        <v>66736</v>
      </c>
      <c r="J82" s="8">
        <v>66634</v>
      </c>
      <c r="K82" s="8">
        <v>173</v>
      </c>
      <c r="L82" s="8" t="s">
        <v>62</v>
      </c>
      <c r="M82" s="8" t="s">
        <v>31</v>
      </c>
      <c r="N82" s="15">
        <f t="shared" si="1"/>
        <v>7.2000119875329657E-2</v>
      </c>
    </row>
    <row r="83" spans="1:14" x14ac:dyDescent="0.3">
      <c r="A83" s="10" t="s">
        <v>250</v>
      </c>
      <c r="B83" s="11" t="s">
        <v>27</v>
      </c>
      <c r="C83" s="12">
        <v>45583</v>
      </c>
      <c r="D83" s="11" t="s">
        <v>74</v>
      </c>
      <c r="E83" s="11" t="s">
        <v>219</v>
      </c>
      <c r="F83" s="11">
        <v>4450</v>
      </c>
      <c r="G83" s="11">
        <v>983</v>
      </c>
      <c r="H83" s="11">
        <v>143</v>
      </c>
      <c r="I83" s="11">
        <v>75650</v>
      </c>
      <c r="J83" s="11">
        <v>75008</v>
      </c>
      <c r="K83" s="11">
        <v>12</v>
      </c>
      <c r="L83" s="11" t="s">
        <v>62</v>
      </c>
      <c r="M83" s="11" t="s">
        <v>31</v>
      </c>
      <c r="N83" s="15">
        <f t="shared" si="1"/>
        <v>7.3707865168539333E-2</v>
      </c>
    </row>
    <row r="84" spans="1:14" x14ac:dyDescent="0.3">
      <c r="A84" s="7" t="s">
        <v>251</v>
      </c>
      <c r="B84" s="8" t="s">
        <v>14</v>
      </c>
      <c r="C84" s="9">
        <v>45553</v>
      </c>
      <c r="D84" s="8" t="s">
        <v>16</v>
      </c>
      <c r="E84" s="8" t="s">
        <v>17</v>
      </c>
      <c r="F84" s="8">
        <v>1000</v>
      </c>
      <c r="G84" s="8">
        <v>978</v>
      </c>
      <c r="H84" s="8">
        <v>162</v>
      </c>
      <c r="I84" s="8">
        <v>6000</v>
      </c>
      <c r="J84" s="8">
        <v>5221</v>
      </c>
      <c r="K84" s="8">
        <v>223</v>
      </c>
      <c r="L84" s="8" t="s">
        <v>37</v>
      </c>
      <c r="M84" s="8" t="s">
        <v>25</v>
      </c>
      <c r="N84" s="15">
        <f t="shared" si="1"/>
        <v>0.35666666666666669</v>
      </c>
    </row>
    <row r="85" spans="1:14" x14ac:dyDescent="0.3">
      <c r="A85" s="10" t="s">
        <v>253</v>
      </c>
      <c r="B85" s="11" t="s">
        <v>43</v>
      </c>
      <c r="C85" s="12">
        <v>45454</v>
      </c>
      <c r="D85" s="11" t="s">
        <v>52</v>
      </c>
      <c r="E85" s="11" t="s">
        <v>59</v>
      </c>
      <c r="F85" s="11">
        <v>3689</v>
      </c>
      <c r="G85" s="11">
        <v>48</v>
      </c>
      <c r="H85" s="11">
        <v>306</v>
      </c>
      <c r="I85" s="11">
        <v>40579</v>
      </c>
      <c r="J85" s="11">
        <v>39588</v>
      </c>
      <c r="K85" s="11">
        <v>212</v>
      </c>
      <c r="L85" s="11" t="s">
        <v>37</v>
      </c>
      <c r="M85" s="11" t="s">
        <v>25</v>
      </c>
      <c r="N85" s="15">
        <f t="shared" si="1"/>
        <v>9.9632815002833983E-2</v>
      </c>
    </row>
    <row r="86" spans="1:14" x14ac:dyDescent="0.3">
      <c r="A86" s="7" t="s">
        <v>255</v>
      </c>
      <c r="B86" s="8" t="s">
        <v>27</v>
      </c>
      <c r="C86" s="9">
        <v>45739</v>
      </c>
      <c r="D86" s="8" t="s">
        <v>35</v>
      </c>
      <c r="E86" s="8" t="s">
        <v>154</v>
      </c>
      <c r="F86" s="8">
        <v>3655</v>
      </c>
      <c r="G86" s="8">
        <v>568</v>
      </c>
      <c r="H86" s="8">
        <v>286</v>
      </c>
      <c r="I86" s="8">
        <v>32895</v>
      </c>
      <c r="J86" s="8">
        <v>32015</v>
      </c>
      <c r="K86" s="8">
        <v>199</v>
      </c>
      <c r="L86" s="8" t="s">
        <v>30</v>
      </c>
      <c r="M86" s="8" t="s">
        <v>31</v>
      </c>
      <c r="N86" s="15">
        <f t="shared" si="1"/>
        <v>0.13707250341997265</v>
      </c>
    </row>
    <row r="87" spans="1:14" x14ac:dyDescent="0.3">
      <c r="A87" s="10" t="s">
        <v>257</v>
      </c>
      <c r="B87" s="11" t="s">
        <v>33</v>
      </c>
      <c r="C87" s="12">
        <v>45457</v>
      </c>
      <c r="D87" s="11" t="s">
        <v>45</v>
      </c>
      <c r="E87" s="11" t="s">
        <v>88</v>
      </c>
      <c r="F87" s="11">
        <v>498</v>
      </c>
      <c r="G87" s="11">
        <v>38</v>
      </c>
      <c r="H87" s="11">
        <v>42</v>
      </c>
      <c r="I87" s="11">
        <v>4482</v>
      </c>
      <c r="J87" s="11">
        <v>3647</v>
      </c>
      <c r="K87" s="11">
        <v>32</v>
      </c>
      <c r="L87" s="11" t="s">
        <v>62</v>
      </c>
      <c r="M87" s="11" t="s">
        <v>19</v>
      </c>
      <c r="N87" s="15">
        <f t="shared" si="1"/>
        <v>0.12896028558679162</v>
      </c>
    </row>
    <row r="88" spans="1:14" x14ac:dyDescent="0.3">
      <c r="A88" s="7" t="s">
        <v>259</v>
      </c>
      <c r="B88" s="8" t="s">
        <v>33</v>
      </c>
      <c r="C88" s="9">
        <v>45692</v>
      </c>
      <c r="D88" s="8" t="s">
        <v>52</v>
      </c>
      <c r="E88" s="8" t="s">
        <v>215</v>
      </c>
      <c r="F88" s="8">
        <v>4619</v>
      </c>
      <c r="G88" s="8">
        <v>821</v>
      </c>
      <c r="H88" s="8">
        <v>499</v>
      </c>
      <c r="I88" s="8">
        <v>69285</v>
      </c>
      <c r="J88" s="8">
        <v>69141</v>
      </c>
      <c r="K88" s="8">
        <v>298</v>
      </c>
      <c r="L88" s="8" t="s">
        <v>30</v>
      </c>
      <c r="M88" s="8" t="s">
        <v>38</v>
      </c>
      <c r="N88" s="15">
        <f t="shared" si="1"/>
        <v>8.5718409468138843E-2</v>
      </c>
    </row>
    <row r="89" spans="1:14" x14ac:dyDescent="0.3">
      <c r="A89" s="10" t="s">
        <v>263</v>
      </c>
      <c r="B89" s="11" t="s">
        <v>14</v>
      </c>
      <c r="C89" s="12">
        <v>45741</v>
      </c>
      <c r="D89" s="11" t="s">
        <v>74</v>
      </c>
      <c r="E89" s="11" t="s">
        <v>145</v>
      </c>
      <c r="F89" s="11">
        <v>4050</v>
      </c>
      <c r="G89" s="11">
        <v>871</v>
      </c>
      <c r="H89" s="11">
        <v>347</v>
      </c>
      <c r="I89" s="11">
        <v>52650</v>
      </c>
      <c r="J89" s="11">
        <v>51755</v>
      </c>
      <c r="K89" s="11">
        <v>209</v>
      </c>
      <c r="L89" s="11" t="s">
        <v>30</v>
      </c>
      <c r="M89" s="11" t="s">
        <v>25</v>
      </c>
      <c r="N89" s="15">
        <f t="shared" si="1"/>
        <v>0.10005698005698006</v>
      </c>
    </row>
    <row r="90" spans="1:14" x14ac:dyDescent="0.3">
      <c r="A90" s="7" t="s">
        <v>265</v>
      </c>
      <c r="B90" s="8" t="s">
        <v>14</v>
      </c>
      <c r="C90" s="9">
        <v>45512</v>
      </c>
      <c r="D90" s="8" t="s">
        <v>35</v>
      </c>
      <c r="E90" s="8" t="s">
        <v>149</v>
      </c>
      <c r="F90" s="8">
        <v>3649</v>
      </c>
      <c r="G90" s="8">
        <v>215</v>
      </c>
      <c r="H90" s="8">
        <v>413</v>
      </c>
      <c r="I90" s="8">
        <v>25543</v>
      </c>
      <c r="J90" s="8">
        <v>24963</v>
      </c>
      <c r="K90" s="8">
        <v>167</v>
      </c>
      <c r="L90" s="8" t="s">
        <v>62</v>
      </c>
      <c r="M90" s="8" t="s">
        <v>31</v>
      </c>
      <c r="N90" s="15">
        <f t="shared" si="1"/>
        <v>0.16744313510550835</v>
      </c>
    </row>
    <row r="91" spans="1:14" x14ac:dyDescent="0.3">
      <c r="A91" s="10" t="s">
        <v>267</v>
      </c>
      <c r="B91" s="11" t="s">
        <v>33</v>
      </c>
      <c r="C91" s="12">
        <v>45502</v>
      </c>
      <c r="D91" s="11" t="s">
        <v>16</v>
      </c>
      <c r="E91" s="11" t="s">
        <v>82</v>
      </c>
      <c r="F91" s="11">
        <v>3523</v>
      </c>
      <c r="G91" s="11">
        <v>753</v>
      </c>
      <c r="H91" s="11">
        <v>482</v>
      </c>
      <c r="I91" s="11">
        <v>38753</v>
      </c>
      <c r="J91" s="11">
        <v>38579</v>
      </c>
      <c r="K91" s="11">
        <v>270</v>
      </c>
      <c r="L91" s="11" t="s">
        <v>37</v>
      </c>
      <c r="M91" s="11" t="s">
        <v>25</v>
      </c>
      <c r="N91" s="15">
        <f t="shared" si="1"/>
        <v>0.12277759141227776</v>
      </c>
    </row>
    <row r="92" spans="1:14" x14ac:dyDescent="0.3">
      <c r="A92" s="7" t="s">
        <v>269</v>
      </c>
      <c r="B92" s="8" t="s">
        <v>27</v>
      </c>
      <c r="C92" s="9">
        <v>45619</v>
      </c>
      <c r="D92" s="8" t="s">
        <v>52</v>
      </c>
      <c r="E92" s="8" t="s">
        <v>53</v>
      </c>
      <c r="F92" s="8">
        <v>2719</v>
      </c>
      <c r="G92" s="8">
        <v>17</v>
      </c>
      <c r="H92" s="8">
        <v>285</v>
      </c>
      <c r="I92" s="8">
        <v>40785</v>
      </c>
      <c r="J92" s="8">
        <v>40281</v>
      </c>
      <c r="K92" s="8">
        <v>40</v>
      </c>
      <c r="L92" s="8" t="s">
        <v>30</v>
      </c>
      <c r="M92" s="8" t="s">
        <v>25</v>
      </c>
      <c r="N92" s="15">
        <f t="shared" si="1"/>
        <v>7.4071349760941527E-2</v>
      </c>
    </row>
    <row r="93" spans="1:14" x14ac:dyDescent="0.3">
      <c r="A93" s="10" t="s">
        <v>271</v>
      </c>
      <c r="B93" s="11" t="s">
        <v>14</v>
      </c>
      <c r="C93" s="12">
        <v>45570</v>
      </c>
      <c r="D93" s="11" t="s">
        <v>35</v>
      </c>
      <c r="E93" s="11" t="s">
        <v>149</v>
      </c>
      <c r="F93" s="11">
        <v>1957</v>
      </c>
      <c r="G93" s="11">
        <v>877</v>
      </c>
      <c r="H93" s="11">
        <v>238</v>
      </c>
      <c r="I93" s="11">
        <v>17613</v>
      </c>
      <c r="J93" s="11">
        <v>16865</v>
      </c>
      <c r="K93" s="11">
        <v>297</v>
      </c>
      <c r="L93" s="11" t="s">
        <v>62</v>
      </c>
      <c r="M93" s="11" t="s">
        <v>31</v>
      </c>
      <c r="N93" s="15">
        <f t="shared" si="1"/>
        <v>0.17441662408448305</v>
      </c>
    </row>
    <row r="94" spans="1:14" x14ac:dyDescent="0.3">
      <c r="A94" s="7" t="s">
        <v>273</v>
      </c>
      <c r="B94" s="8" t="s">
        <v>14</v>
      </c>
      <c r="C94" s="9">
        <v>45567</v>
      </c>
      <c r="D94" s="8" t="s">
        <v>45</v>
      </c>
      <c r="E94" s="8" t="s">
        <v>49</v>
      </c>
      <c r="F94" s="8">
        <v>4419</v>
      </c>
      <c r="G94" s="8">
        <v>236</v>
      </c>
      <c r="H94" s="8">
        <v>369</v>
      </c>
      <c r="I94" s="8">
        <v>44190</v>
      </c>
      <c r="J94" s="8">
        <v>43582</v>
      </c>
      <c r="K94" s="8">
        <v>10</v>
      </c>
      <c r="L94" s="8" t="s">
        <v>37</v>
      </c>
      <c r="M94" s="8" t="s">
        <v>19</v>
      </c>
      <c r="N94" s="15">
        <f t="shared" si="1"/>
        <v>0.11369088028965829</v>
      </c>
    </row>
    <row r="95" spans="1:14" x14ac:dyDescent="0.3">
      <c r="A95" s="10" t="s">
        <v>275</v>
      </c>
      <c r="B95" s="11" t="s">
        <v>14</v>
      </c>
      <c r="C95" s="12">
        <v>45610</v>
      </c>
      <c r="D95" s="11" t="s">
        <v>35</v>
      </c>
      <c r="E95" s="11" t="s">
        <v>149</v>
      </c>
      <c r="F95" s="11">
        <v>4000</v>
      </c>
      <c r="G95" s="11">
        <v>689</v>
      </c>
      <c r="H95" s="11">
        <v>488</v>
      </c>
      <c r="I95" s="11">
        <v>40000</v>
      </c>
      <c r="J95" s="11">
        <v>39569</v>
      </c>
      <c r="K95" s="11">
        <v>44</v>
      </c>
      <c r="L95" s="11" t="s">
        <v>62</v>
      </c>
      <c r="M95" s="11" t="s">
        <v>19</v>
      </c>
      <c r="N95" s="15">
        <f t="shared" si="1"/>
        <v>0.12942500000000001</v>
      </c>
    </row>
    <row r="96" spans="1:14" x14ac:dyDescent="0.3">
      <c r="A96" s="7" t="s">
        <v>277</v>
      </c>
      <c r="B96" s="8" t="s">
        <v>14</v>
      </c>
      <c r="C96" s="9">
        <v>45788</v>
      </c>
      <c r="D96" s="8" t="s">
        <v>52</v>
      </c>
      <c r="E96" s="8" t="s">
        <v>132</v>
      </c>
      <c r="F96" s="8">
        <v>2493</v>
      </c>
      <c r="G96" s="8">
        <v>97</v>
      </c>
      <c r="H96" s="8">
        <v>44</v>
      </c>
      <c r="I96" s="8">
        <v>42381</v>
      </c>
      <c r="J96" s="8">
        <v>41991</v>
      </c>
      <c r="K96" s="8">
        <v>242</v>
      </c>
      <c r="L96" s="8" t="s">
        <v>30</v>
      </c>
      <c r="M96" s="8" t="s">
        <v>38</v>
      </c>
      <c r="N96" s="15">
        <f t="shared" si="1"/>
        <v>6.2150491965739366E-2</v>
      </c>
    </row>
    <row r="97" spans="1:14" x14ac:dyDescent="0.3">
      <c r="A97" s="10" t="s">
        <v>281</v>
      </c>
      <c r="B97" s="11" t="s">
        <v>14</v>
      </c>
      <c r="C97" s="12">
        <v>45600</v>
      </c>
      <c r="D97" s="11" t="s">
        <v>52</v>
      </c>
      <c r="E97" s="11" t="s">
        <v>132</v>
      </c>
      <c r="F97" s="11">
        <v>1606</v>
      </c>
      <c r="G97" s="11">
        <v>451</v>
      </c>
      <c r="H97" s="11">
        <v>405</v>
      </c>
      <c r="I97" s="11">
        <v>20878</v>
      </c>
      <c r="J97" s="11">
        <v>20190</v>
      </c>
      <c r="K97" s="11">
        <v>219</v>
      </c>
      <c r="L97" s="11" t="s">
        <v>37</v>
      </c>
      <c r="M97" s="11" t="s">
        <v>38</v>
      </c>
      <c r="N97" s="15">
        <f t="shared" si="1"/>
        <v>0.11792317271769326</v>
      </c>
    </row>
    <row r="98" spans="1:14" x14ac:dyDescent="0.3">
      <c r="A98" s="7" t="s">
        <v>283</v>
      </c>
      <c r="B98" s="8" t="s">
        <v>43</v>
      </c>
      <c r="C98" s="9">
        <v>45600</v>
      </c>
      <c r="D98" s="8" t="s">
        <v>52</v>
      </c>
      <c r="E98" s="8" t="s">
        <v>59</v>
      </c>
      <c r="F98" s="8">
        <v>4551</v>
      </c>
      <c r="G98" s="8">
        <v>714</v>
      </c>
      <c r="H98" s="8">
        <v>207</v>
      </c>
      <c r="I98" s="8">
        <v>68265</v>
      </c>
      <c r="J98" s="8">
        <v>67754</v>
      </c>
      <c r="K98" s="8">
        <v>57</v>
      </c>
      <c r="L98" s="8" t="s">
        <v>62</v>
      </c>
      <c r="M98" s="8" t="s">
        <v>31</v>
      </c>
      <c r="N98" s="15">
        <f t="shared" si="1"/>
        <v>8.0158206987475278E-2</v>
      </c>
    </row>
    <row r="99" spans="1:14" x14ac:dyDescent="0.3">
      <c r="A99" s="10" t="s">
        <v>286</v>
      </c>
      <c r="B99" s="11" t="s">
        <v>43</v>
      </c>
      <c r="C99" s="12">
        <v>45586</v>
      </c>
      <c r="D99" s="11" t="s">
        <v>35</v>
      </c>
      <c r="E99" s="11" t="s">
        <v>71</v>
      </c>
      <c r="F99" s="11">
        <v>780</v>
      </c>
      <c r="G99" s="11">
        <v>928</v>
      </c>
      <c r="H99" s="11">
        <v>301</v>
      </c>
      <c r="I99" s="11">
        <v>8580</v>
      </c>
      <c r="J99" s="11">
        <v>8081</v>
      </c>
      <c r="K99" s="11">
        <v>91</v>
      </c>
      <c r="L99" s="11" t="s">
        <v>37</v>
      </c>
      <c r="M99" s="11" t="s">
        <v>31</v>
      </c>
      <c r="N99" s="15">
        <f t="shared" si="1"/>
        <v>0.23414918414918415</v>
      </c>
    </row>
    <row r="100" spans="1:14" x14ac:dyDescent="0.3">
      <c r="A100" s="7" t="s">
        <v>288</v>
      </c>
      <c r="B100" s="8" t="s">
        <v>33</v>
      </c>
      <c r="C100" s="9">
        <v>45567</v>
      </c>
      <c r="D100" s="8" t="s">
        <v>22</v>
      </c>
      <c r="E100" s="8" t="s">
        <v>113</v>
      </c>
      <c r="F100" s="8">
        <v>3432</v>
      </c>
      <c r="G100" s="8">
        <v>869</v>
      </c>
      <c r="H100" s="8">
        <v>123</v>
      </c>
      <c r="I100" s="8">
        <v>54912</v>
      </c>
      <c r="J100" s="8">
        <v>53916</v>
      </c>
      <c r="K100" s="8">
        <v>264</v>
      </c>
      <c r="L100" s="8" t="s">
        <v>37</v>
      </c>
      <c r="M100" s="8" t="s">
        <v>25</v>
      </c>
      <c r="N100" s="15">
        <f t="shared" si="1"/>
        <v>8.0565268065268064E-2</v>
      </c>
    </row>
    <row r="101" spans="1:14" x14ac:dyDescent="0.3">
      <c r="A101" s="10" t="s">
        <v>289</v>
      </c>
      <c r="B101" s="11" t="s">
        <v>33</v>
      </c>
      <c r="C101" s="12">
        <v>45457</v>
      </c>
      <c r="D101" s="11" t="s">
        <v>35</v>
      </c>
      <c r="E101" s="11" t="s">
        <v>36</v>
      </c>
      <c r="F101" s="11">
        <v>4363</v>
      </c>
      <c r="G101" s="11">
        <v>649</v>
      </c>
      <c r="H101" s="11">
        <v>140</v>
      </c>
      <c r="I101" s="11">
        <v>21815</v>
      </c>
      <c r="J101" s="11">
        <v>21481</v>
      </c>
      <c r="K101" s="11">
        <v>157</v>
      </c>
      <c r="L101" s="11" t="s">
        <v>37</v>
      </c>
      <c r="M101" s="11" t="s">
        <v>19</v>
      </c>
      <c r="N101" s="15">
        <f t="shared" si="1"/>
        <v>0.23616777446710979</v>
      </c>
    </row>
    <row r="102" spans="1:14" x14ac:dyDescent="0.3">
      <c r="A102" s="7" t="s">
        <v>290</v>
      </c>
      <c r="B102" s="8" t="s">
        <v>27</v>
      </c>
      <c r="C102" s="9">
        <v>45753</v>
      </c>
      <c r="D102" s="8" t="s">
        <v>45</v>
      </c>
      <c r="E102" s="8" t="s">
        <v>68</v>
      </c>
      <c r="F102" s="8">
        <v>736</v>
      </c>
      <c r="G102" s="8">
        <v>771</v>
      </c>
      <c r="H102" s="8">
        <v>225</v>
      </c>
      <c r="I102" s="8">
        <v>5152</v>
      </c>
      <c r="J102" s="8">
        <v>4706</v>
      </c>
      <c r="K102" s="8">
        <v>19</v>
      </c>
      <c r="L102" s="8" t="s">
        <v>37</v>
      </c>
      <c r="M102" s="8" t="s">
        <v>19</v>
      </c>
      <c r="N102" s="15">
        <f t="shared" si="1"/>
        <v>0.33618012422360249</v>
      </c>
    </row>
    <row r="103" spans="1:14" x14ac:dyDescent="0.3">
      <c r="A103" s="10" t="s">
        <v>292</v>
      </c>
      <c r="B103" s="11" t="s">
        <v>14</v>
      </c>
      <c r="C103" s="12">
        <v>45543</v>
      </c>
      <c r="D103" s="11" t="s">
        <v>45</v>
      </c>
      <c r="E103" s="11" t="s">
        <v>49</v>
      </c>
      <c r="F103" s="11">
        <v>3811</v>
      </c>
      <c r="G103" s="11">
        <v>866</v>
      </c>
      <c r="H103" s="11">
        <v>216</v>
      </c>
      <c r="I103" s="11">
        <v>34299</v>
      </c>
      <c r="J103" s="11">
        <v>34088</v>
      </c>
      <c r="K103" s="11">
        <v>233</v>
      </c>
      <c r="L103" s="11" t="s">
        <v>30</v>
      </c>
      <c r="M103" s="11" t="s">
        <v>38</v>
      </c>
      <c r="N103" s="15">
        <f t="shared" si="1"/>
        <v>0.14265722032712325</v>
      </c>
    </row>
    <row r="104" spans="1:14" x14ac:dyDescent="0.3">
      <c r="A104" s="7" t="s">
        <v>295</v>
      </c>
      <c r="B104" s="8" t="s">
        <v>43</v>
      </c>
      <c r="C104" s="9">
        <v>45684</v>
      </c>
      <c r="D104" s="8" t="s">
        <v>16</v>
      </c>
      <c r="E104" s="8" t="s">
        <v>65</v>
      </c>
      <c r="F104" s="8">
        <v>3452</v>
      </c>
      <c r="G104" s="8">
        <v>652</v>
      </c>
      <c r="H104" s="8">
        <v>442</v>
      </c>
      <c r="I104" s="8">
        <v>65588</v>
      </c>
      <c r="J104" s="8">
        <v>65049</v>
      </c>
      <c r="K104" s="8">
        <v>158</v>
      </c>
      <c r="L104" s="8" t="s">
        <v>62</v>
      </c>
      <c r="M104" s="8" t="s">
        <v>31</v>
      </c>
      <c r="N104" s="15">
        <f t="shared" si="1"/>
        <v>6.9311459413307311E-2</v>
      </c>
    </row>
    <row r="105" spans="1:14" x14ac:dyDescent="0.3">
      <c r="A105" s="10" t="s">
        <v>298</v>
      </c>
      <c r="B105" s="11" t="s">
        <v>27</v>
      </c>
      <c r="C105" s="12">
        <v>45564</v>
      </c>
      <c r="D105" s="11" t="s">
        <v>16</v>
      </c>
      <c r="E105" s="11" t="s">
        <v>29</v>
      </c>
      <c r="F105" s="11">
        <v>2936</v>
      </c>
      <c r="G105" s="11">
        <v>439</v>
      </c>
      <c r="H105" s="11">
        <v>44</v>
      </c>
      <c r="I105" s="11">
        <v>38168</v>
      </c>
      <c r="J105" s="11">
        <v>37571</v>
      </c>
      <c r="K105" s="11">
        <v>22</v>
      </c>
      <c r="L105" s="11" t="s">
        <v>37</v>
      </c>
      <c r="M105" s="11" t="s">
        <v>38</v>
      </c>
      <c r="N105" s="15">
        <f t="shared" si="1"/>
        <v>8.9577656675749323E-2</v>
      </c>
    </row>
    <row r="106" spans="1:14" x14ac:dyDescent="0.3">
      <c r="A106" s="7" t="s">
        <v>300</v>
      </c>
      <c r="B106" s="8" t="s">
        <v>33</v>
      </c>
      <c r="C106" s="9">
        <v>45586</v>
      </c>
      <c r="D106" s="8" t="s">
        <v>16</v>
      </c>
      <c r="E106" s="8" t="s">
        <v>82</v>
      </c>
      <c r="F106" s="8">
        <v>4840</v>
      </c>
      <c r="G106" s="8">
        <v>658</v>
      </c>
      <c r="H106" s="8">
        <v>211</v>
      </c>
      <c r="I106" s="8">
        <v>43560</v>
      </c>
      <c r="J106" s="8">
        <v>43225</v>
      </c>
      <c r="K106" s="8">
        <v>57</v>
      </c>
      <c r="L106" s="8" t="s">
        <v>62</v>
      </c>
      <c r="M106" s="8" t="s">
        <v>31</v>
      </c>
      <c r="N106" s="15">
        <f t="shared" si="1"/>
        <v>0.13106060606060607</v>
      </c>
    </row>
    <row r="107" spans="1:14" x14ac:dyDescent="0.3">
      <c r="A107" s="10" t="s">
        <v>301</v>
      </c>
      <c r="B107" s="11" t="s">
        <v>33</v>
      </c>
      <c r="C107" s="12">
        <v>45720</v>
      </c>
      <c r="D107" s="11" t="s">
        <v>35</v>
      </c>
      <c r="E107" s="11" t="s">
        <v>36</v>
      </c>
      <c r="F107" s="11">
        <v>1947</v>
      </c>
      <c r="G107" s="11">
        <v>842</v>
      </c>
      <c r="H107" s="11">
        <v>101</v>
      </c>
      <c r="I107" s="11">
        <v>21417</v>
      </c>
      <c r="J107" s="11">
        <v>20967</v>
      </c>
      <c r="K107" s="11">
        <v>186</v>
      </c>
      <c r="L107" s="11" t="s">
        <v>62</v>
      </c>
      <c r="M107" s="11" t="s">
        <v>25</v>
      </c>
      <c r="N107" s="15">
        <f t="shared" si="1"/>
        <v>0.13493953401503478</v>
      </c>
    </row>
    <row r="108" spans="1:14" x14ac:dyDescent="0.3">
      <c r="A108" s="7" t="s">
        <v>302</v>
      </c>
      <c r="B108" s="8" t="s">
        <v>43</v>
      </c>
      <c r="C108" s="9">
        <v>45694</v>
      </c>
      <c r="D108" s="8" t="s">
        <v>52</v>
      </c>
      <c r="E108" s="8" t="s">
        <v>59</v>
      </c>
      <c r="F108" s="8">
        <v>2072</v>
      </c>
      <c r="G108" s="8">
        <v>532</v>
      </c>
      <c r="H108" s="8">
        <v>71</v>
      </c>
      <c r="I108" s="8">
        <v>37296</v>
      </c>
      <c r="J108" s="8">
        <v>36467</v>
      </c>
      <c r="K108" s="8">
        <v>25</v>
      </c>
      <c r="L108" s="8" t="s">
        <v>30</v>
      </c>
      <c r="M108" s="8" t="s">
        <v>38</v>
      </c>
      <c r="N108" s="15">
        <f t="shared" si="1"/>
        <v>7.172350922350923E-2</v>
      </c>
    </row>
    <row r="109" spans="1:14" x14ac:dyDescent="0.3">
      <c r="A109" s="10" t="s">
        <v>304</v>
      </c>
      <c r="B109" s="11" t="s">
        <v>14</v>
      </c>
      <c r="C109" s="12">
        <v>45771</v>
      </c>
      <c r="D109" s="11" t="s">
        <v>16</v>
      </c>
      <c r="E109" s="11" t="s">
        <v>17</v>
      </c>
      <c r="F109" s="11">
        <v>3731</v>
      </c>
      <c r="G109" s="11">
        <v>115</v>
      </c>
      <c r="H109" s="11">
        <v>135</v>
      </c>
      <c r="I109" s="11">
        <v>55965</v>
      </c>
      <c r="J109" s="11">
        <v>55436</v>
      </c>
      <c r="K109" s="11">
        <v>103</v>
      </c>
      <c r="L109" s="11" t="s">
        <v>30</v>
      </c>
      <c r="M109" s="11" t="s">
        <v>19</v>
      </c>
      <c r="N109" s="15">
        <f t="shared" si="1"/>
        <v>7.1133744304476013E-2</v>
      </c>
    </row>
    <row r="110" spans="1:14" x14ac:dyDescent="0.3">
      <c r="A110" s="7" t="s">
        <v>306</v>
      </c>
      <c r="B110" s="8" t="s">
        <v>43</v>
      </c>
      <c r="C110" s="9">
        <v>45624</v>
      </c>
      <c r="D110" s="8" t="s">
        <v>22</v>
      </c>
      <c r="E110" s="8" t="s">
        <v>56</v>
      </c>
      <c r="F110" s="8">
        <v>4213</v>
      </c>
      <c r="G110" s="8">
        <v>253</v>
      </c>
      <c r="H110" s="8">
        <v>434</v>
      </c>
      <c r="I110" s="8">
        <v>75834</v>
      </c>
      <c r="J110" s="8">
        <v>75437</v>
      </c>
      <c r="K110" s="8">
        <v>272</v>
      </c>
      <c r="L110" s="8" t="s">
        <v>62</v>
      </c>
      <c r="M110" s="8" t="s">
        <v>38</v>
      </c>
      <c r="N110" s="15">
        <f t="shared" si="1"/>
        <v>6.461481657304112E-2</v>
      </c>
    </row>
    <row r="111" spans="1:14" x14ac:dyDescent="0.3">
      <c r="A111" s="10" t="s">
        <v>308</v>
      </c>
      <c r="B111" s="11" t="s">
        <v>33</v>
      </c>
      <c r="C111" s="12">
        <v>45484</v>
      </c>
      <c r="D111" s="11" t="s">
        <v>22</v>
      </c>
      <c r="E111" s="11" t="s">
        <v>113</v>
      </c>
      <c r="F111" s="11">
        <v>3134</v>
      </c>
      <c r="G111" s="11">
        <v>888</v>
      </c>
      <c r="H111" s="11">
        <v>444</v>
      </c>
      <c r="I111" s="11">
        <v>21938</v>
      </c>
      <c r="J111" s="11">
        <v>21337</v>
      </c>
      <c r="K111" s="11">
        <v>130</v>
      </c>
      <c r="L111" s="11" t="s">
        <v>37</v>
      </c>
      <c r="M111" s="11" t="s">
        <v>38</v>
      </c>
      <c r="N111" s="15">
        <f t="shared" si="1"/>
        <v>0.20357370772176134</v>
      </c>
    </row>
    <row r="112" spans="1:14" x14ac:dyDescent="0.3">
      <c r="A112" s="7" t="s">
        <v>311</v>
      </c>
      <c r="B112" s="8" t="s">
        <v>14</v>
      </c>
      <c r="C112" s="9">
        <v>45745</v>
      </c>
      <c r="D112" s="8" t="s">
        <v>52</v>
      </c>
      <c r="E112" s="8" t="s">
        <v>132</v>
      </c>
      <c r="F112" s="8">
        <v>305</v>
      </c>
      <c r="G112" s="8">
        <v>187</v>
      </c>
      <c r="H112" s="8">
        <v>243</v>
      </c>
      <c r="I112" s="8">
        <v>4575</v>
      </c>
      <c r="J112" s="8">
        <v>3704</v>
      </c>
      <c r="K112" s="8">
        <v>234</v>
      </c>
      <c r="L112" s="8" t="s">
        <v>62</v>
      </c>
      <c r="M112" s="8" t="s">
        <v>31</v>
      </c>
      <c r="N112" s="15">
        <f t="shared" si="1"/>
        <v>0.16065573770491803</v>
      </c>
    </row>
    <row r="113" spans="1:14" x14ac:dyDescent="0.3">
      <c r="A113" s="10" t="s">
        <v>312</v>
      </c>
      <c r="B113" s="11" t="s">
        <v>27</v>
      </c>
      <c r="C113" s="12">
        <v>45594</v>
      </c>
      <c r="D113" s="11" t="s">
        <v>22</v>
      </c>
      <c r="E113" s="11" t="s">
        <v>104</v>
      </c>
      <c r="F113" s="11">
        <v>2746</v>
      </c>
      <c r="G113" s="11">
        <v>156</v>
      </c>
      <c r="H113" s="11">
        <v>203</v>
      </c>
      <c r="I113" s="11">
        <v>32952</v>
      </c>
      <c r="J113" s="11">
        <v>32147</v>
      </c>
      <c r="K113" s="11">
        <v>147</v>
      </c>
      <c r="L113" s="11" t="s">
        <v>37</v>
      </c>
      <c r="M113" s="11" t="s">
        <v>19</v>
      </c>
      <c r="N113" s="15">
        <f t="shared" si="1"/>
        <v>9.422796795338674E-2</v>
      </c>
    </row>
    <row r="114" spans="1:14" x14ac:dyDescent="0.3">
      <c r="A114" s="7" t="s">
        <v>314</v>
      </c>
      <c r="B114" s="8" t="s">
        <v>43</v>
      </c>
      <c r="C114" s="9">
        <v>45488</v>
      </c>
      <c r="D114" s="8" t="s">
        <v>52</v>
      </c>
      <c r="E114" s="8" t="s">
        <v>59</v>
      </c>
      <c r="F114" s="8">
        <v>2291</v>
      </c>
      <c r="G114" s="8">
        <v>78</v>
      </c>
      <c r="H114" s="8">
        <v>485</v>
      </c>
      <c r="I114" s="8">
        <v>18328</v>
      </c>
      <c r="J114" s="8">
        <v>18101</v>
      </c>
      <c r="K114" s="8">
        <v>10</v>
      </c>
      <c r="L114" s="8" t="s">
        <v>37</v>
      </c>
      <c r="M114" s="8" t="s">
        <v>25</v>
      </c>
      <c r="N114" s="15">
        <f t="shared" si="1"/>
        <v>0.15571802706241816</v>
      </c>
    </row>
    <row r="115" spans="1:14" x14ac:dyDescent="0.3">
      <c r="A115" s="10" t="s">
        <v>319</v>
      </c>
      <c r="B115" s="11" t="s">
        <v>27</v>
      </c>
      <c r="C115" s="12">
        <v>45741</v>
      </c>
      <c r="D115" s="11" t="s">
        <v>35</v>
      </c>
      <c r="E115" s="11" t="s">
        <v>154</v>
      </c>
      <c r="F115" s="11">
        <v>2070</v>
      </c>
      <c r="G115" s="11">
        <v>275</v>
      </c>
      <c r="H115" s="11">
        <v>386</v>
      </c>
      <c r="I115" s="11">
        <v>39330</v>
      </c>
      <c r="J115" s="11">
        <v>38627</v>
      </c>
      <c r="K115" s="11">
        <v>114</v>
      </c>
      <c r="L115" s="11" t="s">
        <v>62</v>
      </c>
      <c r="M115" s="11" t="s">
        <v>38</v>
      </c>
      <c r="N115" s="15">
        <f t="shared" si="1"/>
        <v>6.9438087973557078E-2</v>
      </c>
    </row>
    <row r="116" spans="1:14" x14ac:dyDescent="0.3">
      <c r="A116" s="7" t="s">
        <v>320</v>
      </c>
      <c r="B116" s="8" t="s">
        <v>27</v>
      </c>
      <c r="C116" s="9">
        <v>45567</v>
      </c>
      <c r="D116" s="8" t="s">
        <v>45</v>
      </c>
      <c r="E116" s="8" t="s">
        <v>68</v>
      </c>
      <c r="F116" s="8">
        <v>80</v>
      </c>
      <c r="G116" s="8">
        <v>362</v>
      </c>
      <c r="H116" s="8">
        <v>80</v>
      </c>
      <c r="I116" s="8">
        <v>1040</v>
      </c>
      <c r="J116" s="8">
        <v>349</v>
      </c>
      <c r="K116" s="8">
        <v>117</v>
      </c>
      <c r="L116" s="8" t="s">
        <v>30</v>
      </c>
      <c r="M116" s="8" t="s">
        <v>31</v>
      </c>
      <c r="N116" s="15">
        <f t="shared" si="1"/>
        <v>0.50192307692307692</v>
      </c>
    </row>
    <row r="117" spans="1:14" x14ac:dyDescent="0.3">
      <c r="A117" s="10" t="s">
        <v>321</v>
      </c>
      <c r="B117" s="11" t="s">
        <v>27</v>
      </c>
      <c r="C117" s="12">
        <v>45593</v>
      </c>
      <c r="D117" s="11" t="s">
        <v>35</v>
      </c>
      <c r="E117" s="11" t="s">
        <v>154</v>
      </c>
      <c r="F117" s="11">
        <v>4929</v>
      </c>
      <c r="G117" s="11">
        <v>749</v>
      </c>
      <c r="H117" s="11">
        <v>452</v>
      </c>
      <c r="I117" s="11">
        <v>93651</v>
      </c>
      <c r="J117" s="11">
        <v>92810</v>
      </c>
      <c r="K117" s="11">
        <v>66</v>
      </c>
      <c r="L117" s="11" t="s">
        <v>37</v>
      </c>
      <c r="M117" s="11" t="s">
        <v>38</v>
      </c>
      <c r="N117" s="15">
        <f t="shared" si="1"/>
        <v>6.5455787978772245E-2</v>
      </c>
    </row>
    <row r="118" spans="1:14" x14ac:dyDescent="0.3">
      <c r="A118" s="7" t="s">
        <v>322</v>
      </c>
      <c r="B118" s="8" t="s">
        <v>33</v>
      </c>
      <c r="C118" s="9">
        <v>45516</v>
      </c>
      <c r="D118" s="8" t="s">
        <v>45</v>
      </c>
      <c r="E118" s="8" t="s">
        <v>88</v>
      </c>
      <c r="F118" s="8">
        <v>1878</v>
      </c>
      <c r="G118" s="8">
        <v>62</v>
      </c>
      <c r="H118" s="8">
        <v>179</v>
      </c>
      <c r="I118" s="8">
        <v>37560</v>
      </c>
      <c r="J118" s="8">
        <v>36874</v>
      </c>
      <c r="K118" s="8">
        <v>142</v>
      </c>
      <c r="L118" s="8" t="s">
        <v>30</v>
      </c>
      <c r="M118" s="8" t="s">
        <v>38</v>
      </c>
      <c r="N118" s="15">
        <f t="shared" si="1"/>
        <v>5.6416400425985093E-2</v>
      </c>
    </row>
    <row r="119" spans="1:14" x14ac:dyDescent="0.3">
      <c r="A119" s="10" t="s">
        <v>326</v>
      </c>
      <c r="B119" s="11" t="s">
        <v>33</v>
      </c>
      <c r="C119" s="12">
        <v>45586</v>
      </c>
      <c r="D119" s="11" t="s">
        <v>16</v>
      </c>
      <c r="E119" s="11" t="s">
        <v>82</v>
      </c>
      <c r="F119" s="11">
        <v>3256</v>
      </c>
      <c r="G119" s="11">
        <v>459</v>
      </c>
      <c r="H119" s="11">
        <v>266</v>
      </c>
      <c r="I119" s="11">
        <v>26048</v>
      </c>
      <c r="J119" s="11">
        <v>25529</v>
      </c>
      <c r="K119" s="11">
        <v>143</v>
      </c>
      <c r="L119" s="11" t="s">
        <v>30</v>
      </c>
      <c r="M119" s="11" t="s">
        <v>25</v>
      </c>
      <c r="N119" s="15">
        <f t="shared" si="1"/>
        <v>0.15283323095823095</v>
      </c>
    </row>
    <row r="120" spans="1:14" x14ac:dyDescent="0.3">
      <c r="A120" s="7" t="s">
        <v>327</v>
      </c>
      <c r="B120" s="8" t="s">
        <v>33</v>
      </c>
      <c r="C120" s="9">
        <v>45762</v>
      </c>
      <c r="D120" s="8" t="s">
        <v>74</v>
      </c>
      <c r="E120" s="8" t="s">
        <v>85</v>
      </c>
      <c r="F120" s="8">
        <v>4133</v>
      </c>
      <c r="G120" s="8">
        <v>466</v>
      </c>
      <c r="H120" s="8">
        <v>327</v>
      </c>
      <c r="I120" s="8">
        <v>24798</v>
      </c>
      <c r="J120" s="8">
        <v>24620</v>
      </c>
      <c r="K120" s="8">
        <v>176</v>
      </c>
      <c r="L120" s="8" t="s">
        <v>37</v>
      </c>
      <c r="M120" s="8" t="s">
        <v>38</v>
      </c>
      <c r="N120" s="15">
        <f t="shared" si="1"/>
        <v>0.19864505202032423</v>
      </c>
    </row>
    <row r="121" spans="1:14" x14ac:dyDescent="0.3">
      <c r="A121" s="10" t="s">
        <v>328</v>
      </c>
      <c r="B121" s="11" t="s">
        <v>14</v>
      </c>
      <c r="C121" s="12">
        <v>45459</v>
      </c>
      <c r="D121" s="11" t="s">
        <v>74</v>
      </c>
      <c r="E121" s="11" t="s">
        <v>145</v>
      </c>
      <c r="F121" s="11">
        <v>1702</v>
      </c>
      <c r="G121" s="11">
        <v>750</v>
      </c>
      <c r="H121" s="11">
        <v>179</v>
      </c>
      <c r="I121" s="11">
        <v>34040</v>
      </c>
      <c r="J121" s="11">
        <v>33174</v>
      </c>
      <c r="K121" s="11">
        <v>76</v>
      </c>
      <c r="L121" s="11" t="s">
        <v>37</v>
      </c>
      <c r="M121" s="11" t="s">
        <v>19</v>
      </c>
      <c r="N121" s="15">
        <f t="shared" si="1"/>
        <v>7.7291421856639245E-2</v>
      </c>
    </row>
    <row r="122" spans="1:14" x14ac:dyDescent="0.3">
      <c r="A122" s="7" t="s">
        <v>330</v>
      </c>
      <c r="B122" s="8" t="s">
        <v>27</v>
      </c>
      <c r="C122" s="9">
        <v>45526</v>
      </c>
      <c r="D122" s="8" t="s">
        <v>45</v>
      </c>
      <c r="E122" s="8" t="s">
        <v>68</v>
      </c>
      <c r="F122" s="8">
        <v>4295</v>
      </c>
      <c r="G122" s="8">
        <v>853</v>
      </c>
      <c r="H122" s="8">
        <v>325</v>
      </c>
      <c r="I122" s="8">
        <v>85900</v>
      </c>
      <c r="J122" s="8">
        <v>85788</v>
      </c>
      <c r="K122" s="8">
        <v>290</v>
      </c>
      <c r="L122" s="8" t="s">
        <v>30</v>
      </c>
      <c r="M122" s="8" t="s">
        <v>38</v>
      </c>
      <c r="N122" s="15">
        <f t="shared" si="1"/>
        <v>6.3713620488940623E-2</v>
      </c>
    </row>
    <row r="123" spans="1:14" x14ac:dyDescent="0.3">
      <c r="A123" s="10" t="s">
        <v>332</v>
      </c>
      <c r="B123" s="11" t="s">
        <v>33</v>
      </c>
      <c r="C123" s="12">
        <v>45499</v>
      </c>
      <c r="D123" s="11" t="s">
        <v>52</v>
      </c>
      <c r="E123" s="11" t="s">
        <v>215</v>
      </c>
      <c r="F123" s="11">
        <v>3559</v>
      </c>
      <c r="G123" s="11">
        <v>59</v>
      </c>
      <c r="H123" s="11">
        <v>289</v>
      </c>
      <c r="I123" s="11">
        <v>35590</v>
      </c>
      <c r="J123" s="11">
        <v>35105</v>
      </c>
      <c r="K123" s="11">
        <v>122</v>
      </c>
      <c r="L123" s="11" t="s">
        <v>37</v>
      </c>
      <c r="M123" s="11" t="s">
        <v>19</v>
      </c>
      <c r="N123" s="15">
        <f t="shared" si="1"/>
        <v>0.10977802753582468</v>
      </c>
    </row>
    <row r="124" spans="1:14" x14ac:dyDescent="0.3">
      <c r="A124" s="7" t="s">
        <v>333</v>
      </c>
      <c r="B124" s="8" t="s">
        <v>43</v>
      </c>
      <c r="C124" s="9">
        <v>45769</v>
      </c>
      <c r="D124" s="8" t="s">
        <v>52</v>
      </c>
      <c r="E124" s="8" t="s">
        <v>59</v>
      </c>
      <c r="F124" s="8">
        <v>4804</v>
      </c>
      <c r="G124" s="8">
        <v>550</v>
      </c>
      <c r="H124" s="8">
        <v>270</v>
      </c>
      <c r="I124" s="8">
        <v>28824</v>
      </c>
      <c r="J124" s="8">
        <v>28370</v>
      </c>
      <c r="K124" s="8">
        <v>47</v>
      </c>
      <c r="L124" s="8" t="s">
        <v>37</v>
      </c>
      <c r="M124" s="8" t="s">
        <v>38</v>
      </c>
      <c r="N124" s="15">
        <f t="shared" si="1"/>
        <v>0.19511518179295032</v>
      </c>
    </row>
    <row r="125" spans="1:14" x14ac:dyDescent="0.3">
      <c r="A125" s="10" t="s">
        <v>335</v>
      </c>
      <c r="B125" s="11" t="s">
        <v>14</v>
      </c>
      <c r="C125" s="12">
        <v>45658</v>
      </c>
      <c r="D125" s="11" t="s">
        <v>74</v>
      </c>
      <c r="E125" s="11" t="s">
        <v>145</v>
      </c>
      <c r="F125" s="11">
        <v>754</v>
      </c>
      <c r="G125" s="11">
        <v>197</v>
      </c>
      <c r="H125" s="11">
        <v>257</v>
      </c>
      <c r="I125" s="11">
        <v>6786</v>
      </c>
      <c r="J125" s="11">
        <v>6221</v>
      </c>
      <c r="K125" s="11">
        <v>212</v>
      </c>
      <c r="L125" s="11" t="s">
        <v>30</v>
      </c>
      <c r="M125" s="11" t="s">
        <v>31</v>
      </c>
      <c r="N125" s="15">
        <f t="shared" si="1"/>
        <v>0.17801355732390214</v>
      </c>
    </row>
    <row r="126" spans="1:14" x14ac:dyDescent="0.3">
      <c r="A126" s="7" t="s">
        <v>337</v>
      </c>
      <c r="B126" s="8" t="s">
        <v>33</v>
      </c>
      <c r="C126" s="9">
        <v>45574</v>
      </c>
      <c r="D126" s="8" t="s">
        <v>45</v>
      </c>
      <c r="E126" s="8" t="s">
        <v>88</v>
      </c>
      <c r="F126" s="8">
        <v>985</v>
      </c>
      <c r="G126" s="8">
        <v>932</v>
      </c>
      <c r="H126" s="8">
        <v>287</v>
      </c>
      <c r="I126" s="8">
        <v>6895</v>
      </c>
      <c r="J126" s="8">
        <v>6757</v>
      </c>
      <c r="K126" s="8">
        <v>64</v>
      </c>
      <c r="L126" s="8" t="s">
        <v>62</v>
      </c>
      <c r="M126" s="8" t="s">
        <v>38</v>
      </c>
      <c r="N126" s="15">
        <f t="shared" si="1"/>
        <v>0.31965192168237855</v>
      </c>
    </row>
    <row r="127" spans="1:14" x14ac:dyDescent="0.3">
      <c r="A127" s="10" t="s">
        <v>338</v>
      </c>
      <c r="B127" s="11" t="s">
        <v>27</v>
      </c>
      <c r="C127" s="12">
        <v>45647</v>
      </c>
      <c r="D127" s="11" t="s">
        <v>52</v>
      </c>
      <c r="E127" s="11" t="s">
        <v>53</v>
      </c>
      <c r="F127" s="11">
        <v>2283</v>
      </c>
      <c r="G127" s="11">
        <v>210</v>
      </c>
      <c r="H127" s="11">
        <v>130</v>
      </c>
      <c r="I127" s="11">
        <v>22830</v>
      </c>
      <c r="J127" s="11">
        <v>22617</v>
      </c>
      <c r="K127" s="11">
        <v>143</v>
      </c>
      <c r="L127" s="11" t="s">
        <v>62</v>
      </c>
      <c r="M127" s="11" t="s">
        <v>25</v>
      </c>
      <c r="N127" s="15">
        <f t="shared" si="1"/>
        <v>0.11489268506351293</v>
      </c>
    </row>
    <row r="128" spans="1:14" x14ac:dyDescent="0.3">
      <c r="A128" s="7" t="s">
        <v>340</v>
      </c>
      <c r="B128" s="8" t="s">
        <v>43</v>
      </c>
      <c r="C128" s="9">
        <v>45587</v>
      </c>
      <c r="D128" s="8" t="s">
        <v>45</v>
      </c>
      <c r="E128" s="8" t="s">
        <v>46</v>
      </c>
      <c r="F128" s="8">
        <v>3352</v>
      </c>
      <c r="G128" s="8">
        <v>941</v>
      </c>
      <c r="H128" s="8">
        <v>482</v>
      </c>
      <c r="I128" s="8">
        <v>43576</v>
      </c>
      <c r="J128" s="8">
        <v>43338</v>
      </c>
      <c r="K128" s="8">
        <v>240</v>
      </c>
      <c r="L128" s="8" t="s">
        <v>62</v>
      </c>
      <c r="M128" s="8" t="s">
        <v>25</v>
      </c>
      <c r="N128" s="15">
        <f t="shared" si="1"/>
        <v>0.1095786671562328</v>
      </c>
    </row>
    <row r="129" spans="1:14" x14ac:dyDescent="0.3">
      <c r="A129" s="10" t="s">
        <v>342</v>
      </c>
      <c r="B129" s="11" t="s">
        <v>27</v>
      </c>
      <c r="C129" s="12">
        <v>45496</v>
      </c>
      <c r="D129" s="11" t="s">
        <v>35</v>
      </c>
      <c r="E129" s="11" t="s">
        <v>154</v>
      </c>
      <c r="F129" s="11">
        <v>4775</v>
      </c>
      <c r="G129" s="11">
        <v>173</v>
      </c>
      <c r="H129" s="11">
        <v>206</v>
      </c>
      <c r="I129" s="11">
        <v>47750</v>
      </c>
      <c r="J129" s="11">
        <v>47544</v>
      </c>
      <c r="K129" s="11">
        <v>187</v>
      </c>
      <c r="L129" s="11" t="s">
        <v>62</v>
      </c>
      <c r="M129" s="11" t="s">
        <v>25</v>
      </c>
      <c r="N129" s="15">
        <f t="shared" si="1"/>
        <v>0.10793717277486911</v>
      </c>
    </row>
    <row r="130" spans="1:14" x14ac:dyDescent="0.3">
      <c r="A130" s="7" t="s">
        <v>344</v>
      </c>
      <c r="B130" s="8" t="s">
        <v>33</v>
      </c>
      <c r="C130" s="9">
        <v>45515</v>
      </c>
      <c r="D130" s="8" t="s">
        <v>35</v>
      </c>
      <c r="E130" s="8" t="s">
        <v>36</v>
      </c>
      <c r="F130" s="8">
        <v>1762</v>
      </c>
      <c r="G130" s="8">
        <v>405</v>
      </c>
      <c r="H130" s="8">
        <v>423</v>
      </c>
      <c r="I130" s="8">
        <v>22906</v>
      </c>
      <c r="J130" s="8">
        <v>21925</v>
      </c>
      <c r="K130" s="8">
        <v>25</v>
      </c>
      <c r="L130" s="8" t="s">
        <v>30</v>
      </c>
      <c r="M130" s="8" t="s">
        <v>19</v>
      </c>
      <c r="N130" s="15">
        <f t="shared" si="1"/>
        <v>0.11307081114118571</v>
      </c>
    </row>
    <row r="131" spans="1:14" x14ac:dyDescent="0.3">
      <c r="A131" s="10" t="s">
        <v>346</v>
      </c>
      <c r="B131" s="11" t="s">
        <v>43</v>
      </c>
      <c r="C131" s="12">
        <v>45621</v>
      </c>
      <c r="D131" s="11" t="s">
        <v>35</v>
      </c>
      <c r="E131" s="11" t="s">
        <v>71</v>
      </c>
      <c r="F131" s="11">
        <v>2120</v>
      </c>
      <c r="G131" s="11">
        <v>158</v>
      </c>
      <c r="H131" s="11">
        <v>488</v>
      </c>
      <c r="I131" s="11">
        <v>12720</v>
      </c>
      <c r="J131" s="11">
        <v>12085</v>
      </c>
      <c r="K131" s="11">
        <v>17</v>
      </c>
      <c r="L131" s="11" t="s">
        <v>62</v>
      </c>
      <c r="M131" s="11" t="s">
        <v>25</v>
      </c>
      <c r="N131" s="15">
        <f t="shared" ref="N131:N194" si="2">(F131+G131+H131)/I131</f>
        <v>0.21745283018867925</v>
      </c>
    </row>
    <row r="132" spans="1:14" x14ac:dyDescent="0.3">
      <c r="A132" s="7" t="s">
        <v>349</v>
      </c>
      <c r="B132" s="8" t="s">
        <v>14</v>
      </c>
      <c r="C132" s="9">
        <v>45707</v>
      </c>
      <c r="D132" s="8" t="s">
        <v>22</v>
      </c>
      <c r="E132" s="8" t="s">
        <v>23</v>
      </c>
      <c r="F132" s="8">
        <v>4671</v>
      </c>
      <c r="G132" s="8">
        <v>876</v>
      </c>
      <c r="H132" s="8">
        <v>366</v>
      </c>
      <c r="I132" s="8">
        <v>51381</v>
      </c>
      <c r="J132" s="8">
        <v>50565</v>
      </c>
      <c r="K132" s="8">
        <v>245</v>
      </c>
      <c r="L132" s="8" t="s">
        <v>30</v>
      </c>
      <c r="M132" s="8" t="s">
        <v>38</v>
      </c>
      <c r="N132" s="15">
        <f t="shared" si="2"/>
        <v>0.11508145034156594</v>
      </c>
    </row>
    <row r="133" spans="1:14" x14ac:dyDescent="0.3">
      <c r="A133" s="10" t="s">
        <v>353</v>
      </c>
      <c r="B133" s="11" t="s">
        <v>33</v>
      </c>
      <c r="C133" s="12">
        <v>45755</v>
      </c>
      <c r="D133" s="11" t="s">
        <v>52</v>
      </c>
      <c r="E133" s="11" t="s">
        <v>215</v>
      </c>
      <c r="F133" s="11">
        <v>4501</v>
      </c>
      <c r="G133" s="11">
        <v>375</v>
      </c>
      <c r="H133" s="11">
        <v>323</v>
      </c>
      <c r="I133" s="11">
        <v>22505</v>
      </c>
      <c r="J133" s="11">
        <v>21836</v>
      </c>
      <c r="K133" s="11">
        <v>132</v>
      </c>
      <c r="L133" s="11" t="s">
        <v>30</v>
      </c>
      <c r="M133" s="11" t="s">
        <v>25</v>
      </c>
      <c r="N133" s="15">
        <f t="shared" si="2"/>
        <v>0.23101532992668297</v>
      </c>
    </row>
    <row r="134" spans="1:14" x14ac:dyDescent="0.3">
      <c r="A134" s="7" t="s">
        <v>355</v>
      </c>
      <c r="B134" s="8" t="s">
        <v>27</v>
      </c>
      <c r="C134" s="9">
        <v>45715</v>
      </c>
      <c r="D134" s="8" t="s">
        <v>22</v>
      </c>
      <c r="E134" s="8" t="s">
        <v>104</v>
      </c>
      <c r="F134" s="8">
        <v>4934</v>
      </c>
      <c r="G134" s="8">
        <v>971</v>
      </c>
      <c r="H134" s="8">
        <v>156</v>
      </c>
      <c r="I134" s="8">
        <v>39472</v>
      </c>
      <c r="J134" s="8">
        <v>39025</v>
      </c>
      <c r="K134" s="8">
        <v>169</v>
      </c>
      <c r="L134" s="8" t="s">
        <v>30</v>
      </c>
      <c r="M134" s="8" t="s">
        <v>38</v>
      </c>
      <c r="N134" s="15">
        <f t="shared" si="2"/>
        <v>0.15355188488042157</v>
      </c>
    </row>
    <row r="135" spans="1:14" x14ac:dyDescent="0.3">
      <c r="A135" s="10" t="s">
        <v>356</v>
      </c>
      <c r="B135" s="11" t="s">
        <v>14</v>
      </c>
      <c r="C135" s="12">
        <v>45637</v>
      </c>
      <c r="D135" s="11" t="s">
        <v>22</v>
      </c>
      <c r="E135" s="11" t="s">
        <v>23</v>
      </c>
      <c r="F135" s="11">
        <v>3239</v>
      </c>
      <c r="G135" s="11">
        <v>43</v>
      </c>
      <c r="H135" s="11">
        <v>211</v>
      </c>
      <c r="I135" s="11">
        <v>22673</v>
      </c>
      <c r="J135" s="11">
        <v>22171</v>
      </c>
      <c r="K135" s="11">
        <v>230</v>
      </c>
      <c r="L135" s="11" t="s">
        <v>30</v>
      </c>
      <c r="M135" s="11" t="s">
        <v>25</v>
      </c>
      <c r="N135" s="15">
        <f t="shared" si="2"/>
        <v>0.15405989502933004</v>
      </c>
    </row>
    <row r="136" spans="1:14" x14ac:dyDescent="0.3">
      <c r="A136" s="7" t="s">
        <v>357</v>
      </c>
      <c r="B136" s="8" t="s">
        <v>14</v>
      </c>
      <c r="C136" s="9">
        <v>45704</v>
      </c>
      <c r="D136" s="8" t="s">
        <v>16</v>
      </c>
      <c r="E136" s="8" t="s">
        <v>17</v>
      </c>
      <c r="F136" s="8">
        <v>1076</v>
      </c>
      <c r="G136" s="8">
        <v>313</v>
      </c>
      <c r="H136" s="8">
        <v>306</v>
      </c>
      <c r="I136" s="8">
        <v>11836</v>
      </c>
      <c r="J136" s="8">
        <v>11596</v>
      </c>
      <c r="K136" s="8">
        <v>104</v>
      </c>
      <c r="L136" s="8" t="s">
        <v>62</v>
      </c>
      <c r="M136" s="8" t="s">
        <v>19</v>
      </c>
      <c r="N136" s="15">
        <f t="shared" si="2"/>
        <v>0.14320716458262928</v>
      </c>
    </row>
    <row r="137" spans="1:14" x14ac:dyDescent="0.3">
      <c r="A137" s="10" t="s">
        <v>359</v>
      </c>
      <c r="B137" s="11" t="s">
        <v>43</v>
      </c>
      <c r="C137" s="12">
        <v>45608</v>
      </c>
      <c r="D137" s="11" t="s">
        <v>22</v>
      </c>
      <c r="E137" s="11" t="s">
        <v>56</v>
      </c>
      <c r="F137" s="11">
        <v>2418</v>
      </c>
      <c r="G137" s="11">
        <v>754</v>
      </c>
      <c r="H137" s="11">
        <v>54</v>
      </c>
      <c r="I137" s="11">
        <v>43524</v>
      </c>
      <c r="J137" s="11">
        <v>42743</v>
      </c>
      <c r="K137" s="11">
        <v>182</v>
      </c>
      <c r="L137" s="11" t="s">
        <v>37</v>
      </c>
      <c r="M137" s="11" t="s">
        <v>19</v>
      </c>
      <c r="N137" s="15">
        <f t="shared" si="2"/>
        <v>7.412002573292896E-2</v>
      </c>
    </row>
    <row r="138" spans="1:14" x14ac:dyDescent="0.3">
      <c r="A138" s="7" t="s">
        <v>361</v>
      </c>
      <c r="B138" s="8" t="s">
        <v>27</v>
      </c>
      <c r="C138" s="9">
        <v>45629</v>
      </c>
      <c r="D138" s="8" t="s">
        <v>74</v>
      </c>
      <c r="E138" s="8" t="s">
        <v>219</v>
      </c>
      <c r="F138" s="8">
        <v>3809</v>
      </c>
      <c r="G138" s="8">
        <v>273</v>
      </c>
      <c r="H138" s="8">
        <v>200</v>
      </c>
      <c r="I138" s="8">
        <v>34281</v>
      </c>
      <c r="J138" s="8">
        <v>33534</v>
      </c>
      <c r="K138" s="8">
        <v>83</v>
      </c>
      <c r="L138" s="8" t="s">
        <v>37</v>
      </c>
      <c r="M138" s="8" t="s">
        <v>19</v>
      </c>
      <c r="N138" s="15">
        <f t="shared" si="2"/>
        <v>0.12490884163239112</v>
      </c>
    </row>
    <row r="139" spans="1:14" x14ac:dyDescent="0.3">
      <c r="A139" s="10" t="s">
        <v>363</v>
      </c>
      <c r="B139" s="11" t="s">
        <v>14</v>
      </c>
      <c r="C139" s="12">
        <v>45775</v>
      </c>
      <c r="D139" s="11" t="s">
        <v>22</v>
      </c>
      <c r="E139" s="11" t="s">
        <v>23</v>
      </c>
      <c r="F139" s="11">
        <v>3577</v>
      </c>
      <c r="G139" s="11">
        <v>596</v>
      </c>
      <c r="H139" s="11">
        <v>493</v>
      </c>
      <c r="I139" s="11">
        <v>67963</v>
      </c>
      <c r="J139" s="11">
        <v>67839</v>
      </c>
      <c r="K139" s="11">
        <v>53</v>
      </c>
      <c r="L139" s="11" t="s">
        <v>30</v>
      </c>
      <c r="M139" s="11" t="s">
        <v>31</v>
      </c>
      <c r="N139" s="15">
        <f t="shared" si="2"/>
        <v>6.8655003457763777E-2</v>
      </c>
    </row>
    <row r="140" spans="1:14" x14ac:dyDescent="0.3">
      <c r="A140" s="7" t="s">
        <v>365</v>
      </c>
      <c r="B140" s="8" t="s">
        <v>27</v>
      </c>
      <c r="C140" s="9">
        <v>45657</v>
      </c>
      <c r="D140" s="8" t="s">
        <v>74</v>
      </c>
      <c r="E140" s="8" t="s">
        <v>219</v>
      </c>
      <c r="F140" s="8">
        <v>1018</v>
      </c>
      <c r="G140" s="8">
        <v>447</v>
      </c>
      <c r="H140" s="8">
        <v>332</v>
      </c>
      <c r="I140" s="8">
        <v>18324</v>
      </c>
      <c r="J140" s="8">
        <v>18164</v>
      </c>
      <c r="K140" s="8">
        <v>38</v>
      </c>
      <c r="L140" s="8" t="s">
        <v>62</v>
      </c>
      <c r="M140" s="8" t="s">
        <v>25</v>
      </c>
      <c r="N140" s="15">
        <f t="shared" si="2"/>
        <v>9.8068107400130972E-2</v>
      </c>
    </row>
    <row r="141" spans="1:14" x14ac:dyDescent="0.3">
      <c r="A141" s="10" t="s">
        <v>367</v>
      </c>
      <c r="B141" s="11" t="s">
        <v>43</v>
      </c>
      <c r="C141" s="12">
        <v>45518</v>
      </c>
      <c r="D141" s="11" t="s">
        <v>45</v>
      </c>
      <c r="E141" s="11" t="s">
        <v>46</v>
      </c>
      <c r="F141" s="11">
        <v>3073</v>
      </c>
      <c r="G141" s="11">
        <v>553</v>
      </c>
      <c r="H141" s="11">
        <v>174</v>
      </c>
      <c r="I141" s="11">
        <v>52241</v>
      </c>
      <c r="J141" s="11">
        <v>51605</v>
      </c>
      <c r="K141" s="11">
        <v>246</v>
      </c>
      <c r="L141" s="11" t="s">
        <v>37</v>
      </c>
      <c r="M141" s="11" t="s">
        <v>31</v>
      </c>
      <c r="N141" s="15">
        <f t="shared" si="2"/>
        <v>7.2739802071170159E-2</v>
      </c>
    </row>
    <row r="142" spans="1:14" x14ac:dyDescent="0.3">
      <c r="A142" s="7" t="s">
        <v>369</v>
      </c>
      <c r="B142" s="8" t="s">
        <v>14</v>
      </c>
      <c r="C142" s="9">
        <v>45631</v>
      </c>
      <c r="D142" s="8" t="s">
        <v>74</v>
      </c>
      <c r="E142" s="8" t="s">
        <v>145</v>
      </c>
      <c r="F142" s="8">
        <v>1330</v>
      </c>
      <c r="G142" s="8">
        <v>925</v>
      </c>
      <c r="H142" s="8">
        <v>35</v>
      </c>
      <c r="I142" s="8">
        <v>15960</v>
      </c>
      <c r="J142" s="8">
        <v>15379</v>
      </c>
      <c r="K142" s="8">
        <v>229</v>
      </c>
      <c r="L142" s="8" t="s">
        <v>62</v>
      </c>
      <c r="M142" s="8" t="s">
        <v>31</v>
      </c>
      <c r="N142" s="15">
        <f t="shared" si="2"/>
        <v>0.14348370927318296</v>
      </c>
    </row>
    <row r="143" spans="1:14" x14ac:dyDescent="0.3">
      <c r="A143" s="10" t="s">
        <v>372</v>
      </c>
      <c r="B143" s="11" t="s">
        <v>33</v>
      </c>
      <c r="C143" s="12">
        <v>45674</v>
      </c>
      <c r="D143" s="11" t="s">
        <v>16</v>
      </c>
      <c r="E143" s="11" t="s">
        <v>82</v>
      </c>
      <c r="F143" s="11">
        <v>142</v>
      </c>
      <c r="G143" s="11">
        <v>784</v>
      </c>
      <c r="H143" s="11">
        <v>183</v>
      </c>
      <c r="I143" s="11">
        <v>1704</v>
      </c>
      <c r="J143" s="11">
        <v>995</v>
      </c>
      <c r="K143" s="11">
        <v>154</v>
      </c>
      <c r="L143" s="11" t="s">
        <v>62</v>
      </c>
      <c r="M143" s="11" t="s">
        <v>38</v>
      </c>
      <c r="N143" s="15">
        <f t="shared" si="2"/>
        <v>0.6508215962441315</v>
      </c>
    </row>
    <row r="144" spans="1:14" x14ac:dyDescent="0.3">
      <c r="A144" s="7" t="s">
        <v>374</v>
      </c>
      <c r="B144" s="8" t="s">
        <v>43</v>
      </c>
      <c r="C144" s="9">
        <v>45463</v>
      </c>
      <c r="D144" s="8" t="s">
        <v>74</v>
      </c>
      <c r="E144" s="8" t="s">
        <v>75</v>
      </c>
      <c r="F144" s="8">
        <v>3798</v>
      </c>
      <c r="G144" s="8">
        <v>31</v>
      </c>
      <c r="H144" s="8">
        <v>279</v>
      </c>
      <c r="I144" s="8">
        <v>75960</v>
      </c>
      <c r="J144" s="8">
        <v>75813</v>
      </c>
      <c r="K144" s="8">
        <v>266</v>
      </c>
      <c r="L144" s="8" t="s">
        <v>30</v>
      </c>
      <c r="M144" s="8" t="s">
        <v>19</v>
      </c>
      <c r="N144" s="15">
        <f t="shared" si="2"/>
        <v>5.4081095313322801E-2</v>
      </c>
    </row>
    <row r="145" spans="1:14" x14ac:dyDescent="0.3">
      <c r="A145" s="10" t="s">
        <v>376</v>
      </c>
      <c r="B145" s="11" t="s">
        <v>33</v>
      </c>
      <c r="C145" s="12">
        <v>45483</v>
      </c>
      <c r="D145" s="11" t="s">
        <v>45</v>
      </c>
      <c r="E145" s="11" t="s">
        <v>88</v>
      </c>
      <c r="F145" s="11">
        <v>3099</v>
      </c>
      <c r="G145" s="11">
        <v>694</v>
      </c>
      <c r="H145" s="11">
        <v>171</v>
      </c>
      <c r="I145" s="11">
        <v>43386</v>
      </c>
      <c r="J145" s="11">
        <v>42921</v>
      </c>
      <c r="K145" s="11">
        <v>52</v>
      </c>
      <c r="L145" s="11" t="s">
        <v>30</v>
      </c>
      <c r="M145" s="11" t="s">
        <v>31</v>
      </c>
      <c r="N145" s="15">
        <f t="shared" si="2"/>
        <v>9.1365878393951966E-2</v>
      </c>
    </row>
    <row r="146" spans="1:14" x14ac:dyDescent="0.3">
      <c r="A146" s="7" t="s">
        <v>378</v>
      </c>
      <c r="B146" s="8" t="s">
        <v>33</v>
      </c>
      <c r="C146" s="9">
        <v>45603</v>
      </c>
      <c r="D146" s="8" t="s">
        <v>74</v>
      </c>
      <c r="E146" s="8" t="s">
        <v>85</v>
      </c>
      <c r="F146" s="8">
        <v>129</v>
      </c>
      <c r="G146" s="8">
        <v>643</v>
      </c>
      <c r="H146" s="8">
        <v>136</v>
      </c>
      <c r="I146" s="8">
        <v>1290</v>
      </c>
      <c r="J146" s="8">
        <v>839</v>
      </c>
      <c r="K146" s="8">
        <v>238</v>
      </c>
      <c r="L146" s="8" t="s">
        <v>30</v>
      </c>
      <c r="M146" s="8" t="s">
        <v>38</v>
      </c>
      <c r="N146" s="15">
        <f t="shared" si="2"/>
        <v>0.70387596899224802</v>
      </c>
    </row>
    <row r="147" spans="1:14" x14ac:dyDescent="0.3">
      <c r="A147" s="10" t="s">
        <v>380</v>
      </c>
      <c r="B147" s="11" t="s">
        <v>27</v>
      </c>
      <c r="C147" s="12">
        <v>45629</v>
      </c>
      <c r="D147" s="11" t="s">
        <v>22</v>
      </c>
      <c r="E147" s="11" t="s">
        <v>104</v>
      </c>
      <c r="F147" s="11">
        <v>3711</v>
      </c>
      <c r="G147" s="11">
        <v>352</v>
      </c>
      <c r="H147" s="11">
        <v>290</v>
      </c>
      <c r="I147" s="11">
        <v>48243</v>
      </c>
      <c r="J147" s="11">
        <v>47579</v>
      </c>
      <c r="K147" s="11">
        <v>11</v>
      </c>
      <c r="L147" s="11" t="s">
        <v>30</v>
      </c>
      <c r="M147" s="11" t="s">
        <v>19</v>
      </c>
      <c r="N147" s="15">
        <f t="shared" si="2"/>
        <v>9.023070704558174E-2</v>
      </c>
    </row>
    <row r="148" spans="1:14" x14ac:dyDescent="0.3">
      <c r="A148" s="7" t="s">
        <v>381</v>
      </c>
      <c r="B148" s="8" t="s">
        <v>27</v>
      </c>
      <c r="C148" s="9">
        <v>45737</v>
      </c>
      <c r="D148" s="8" t="s">
        <v>52</v>
      </c>
      <c r="E148" s="8" t="s">
        <v>53</v>
      </c>
      <c r="F148" s="8">
        <v>606</v>
      </c>
      <c r="G148" s="8">
        <v>789</v>
      </c>
      <c r="H148" s="8">
        <v>470</v>
      </c>
      <c r="I148" s="8">
        <v>7878</v>
      </c>
      <c r="J148" s="8">
        <v>7389</v>
      </c>
      <c r="K148" s="8">
        <v>239</v>
      </c>
      <c r="L148" s="8" t="s">
        <v>37</v>
      </c>
      <c r="M148" s="8" t="s">
        <v>31</v>
      </c>
      <c r="N148" s="15">
        <f t="shared" si="2"/>
        <v>0.23673521198273673</v>
      </c>
    </row>
    <row r="149" spans="1:14" x14ac:dyDescent="0.3">
      <c r="A149" s="10" t="s">
        <v>383</v>
      </c>
      <c r="B149" s="11" t="s">
        <v>43</v>
      </c>
      <c r="C149" s="12">
        <v>45504</v>
      </c>
      <c r="D149" s="11" t="s">
        <v>52</v>
      </c>
      <c r="E149" s="11" t="s">
        <v>59</v>
      </c>
      <c r="F149" s="11">
        <v>4689</v>
      </c>
      <c r="G149" s="11">
        <v>134</v>
      </c>
      <c r="H149" s="11">
        <v>403</v>
      </c>
      <c r="I149" s="11">
        <v>51579</v>
      </c>
      <c r="J149" s="11">
        <v>50924</v>
      </c>
      <c r="K149" s="11">
        <v>173</v>
      </c>
      <c r="L149" s="11" t="s">
        <v>30</v>
      </c>
      <c r="M149" s="11" t="s">
        <v>38</v>
      </c>
      <c r="N149" s="15">
        <f t="shared" si="2"/>
        <v>0.10132030477519921</v>
      </c>
    </row>
    <row r="150" spans="1:14" x14ac:dyDescent="0.3">
      <c r="A150" s="7" t="s">
        <v>384</v>
      </c>
      <c r="B150" s="8" t="s">
        <v>33</v>
      </c>
      <c r="C150" s="9">
        <v>45643</v>
      </c>
      <c r="D150" s="8" t="s">
        <v>35</v>
      </c>
      <c r="E150" s="8" t="s">
        <v>36</v>
      </c>
      <c r="F150" s="8">
        <v>360</v>
      </c>
      <c r="G150" s="8">
        <v>590</v>
      </c>
      <c r="H150" s="8">
        <v>393</v>
      </c>
      <c r="I150" s="8">
        <v>4680</v>
      </c>
      <c r="J150" s="8">
        <v>4322</v>
      </c>
      <c r="K150" s="8">
        <v>208</v>
      </c>
      <c r="L150" s="8" t="s">
        <v>62</v>
      </c>
      <c r="M150" s="8" t="s">
        <v>25</v>
      </c>
      <c r="N150" s="15">
        <f t="shared" si="2"/>
        <v>0.28696581196581195</v>
      </c>
    </row>
    <row r="151" spans="1:14" x14ac:dyDescent="0.3">
      <c r="A151" s="10" t="s">
        <v>386</v>
      </c>
      <c r="B151" s="11" t="s">
        <v>14</v>
      </c>
      <c r="C151" s="12">
        <v>45501</v>
      </c>
      <c r="D151" s="11" t="s">
        <v>52</v>
      </c>
      <c r="E151" s="11" t="s">
        <v>132</v>
      </c>
      <c r="F151" s="11">
        <v>3215</v>
      </c>
      <c r="G151" s="11">
        <v>960</v>
      </c>
      <c r="H151" s="11">
        <v>202</v>
      </c>
      <c r="I151" s="11">
        <v>32150</v>
      </c>
      <c r="J151" s="11">
        <v>31404</v>
      </c>
      <c r="K151" s="11">
        <v>251</v>
      </c>
      <c r="L151" s="11" t="s">
        <v>37</v>
      </c>
      <c r="M151" s="11" t="s">
        <v>19</v>
      </c>
      <c r="N151" s="15">
        <f t="shared" si="2"/>
        <v>0.13614307931570763</v>
      </c>
    </row>
    <row r="152" spans="1:14" x14ac:dyDescent="0.3">
      <c r="A152" s="7" t="s">
        <v>390</v>
      </c>
      <c r="B152" s="8" t="s">
        <v>43</v>
      </c>
      <c r="C152" s="9">
        <v>45528</v>
      </c>
      <c r="D152" s="8" t="s">
        <v>45</v>
      </c>
      <c r="E152" s="8" t="s">
        <v>46</v>
      </c>
      <c r="F152" s="8">
        <v>4292</v>
      </c>
      <c r="G152" s="8">
        <v>51</v>
      </c>
      <c r="H152" s="8">
        <v>392</v>
      </c>
      <c r="I152" s="8">
        <v>55796</v>
      </c>
      <c r="J152" s="8">
        <v>54826</v>
      </c>
      <c r="K152" s="8">
        <v>264</v>
      </c>
      <c r="L152" s="8" t="s">
        <v>37</v>
      </c>
      <c r="M152" s="8" t="s">
        <v>31</v>
      </c>
      <c r="N152" s="15">
        <f t="shared" si="2"/>
        <v>8.4862714173059003E-2</v>
      </c>
    </row>
    <row r="153" spans="1:14" x14ac:dyDescent="0.3">
      <c r="A153" s="10" t="s">
        <v>391</v>
      </c>
      <c r="B153" s="11" t="s">
        <v>14</v>
      </c>
      <c r="C153" s="12">
        <v>45648</v>
      </c>
      <c r="D153" s="11" t="s">
        <v>16</v>
      </c>
      <c r="E153" s="11" t="s">
        <v>17</v>
      </c>
      <c r="F153" s="11">
        <v>1644</v>
      </c>
      <c r="G153" s="11">
        <v>546</v>
      </c>
      <c r="H153" s="11">
        <v>150</v>
      </c>
      <c r="I153" s="11">
        <v>27948</v>
      </c>
      <c r="J153" s="11">
        <v>27184</v>
      </c>
      <c r="K153" s="11">
        <v>300</v>
      </c>
      <c r="L153" s="11" t="s">
        <v>37</v>
      </c>
      <c r="M153" s="11" t="s">
        <v>31</v>
      </c>
      <c r="N153" s="15">
        <f t="shared" si="2"/>
        <v>8.3726921425504502E-2</v>
      </c>
    </row>
    <row r="154" spans="1:14" x14ac:dyDescent="0.3">
      <c r="A154" s="7" t="s">
        <v>393</v>
      </c>
      <c r="B154" s="8" t="s">
        <v>27</v>
      </c>
      <c r="C154" s="9">
        <v>45449</v>
      </c>
      <c r="D154" s="8" t="s">
        <v>16</v>
      </c>
      <c r="E154" s="8" t="s">
        <v>29</v>
      </c>
      <c r="F154" s="8">
        <v>2728</v>
      </c>
      <c r="G154" s="8">
        <v>533</v>
      </c>
      <c r="H154" s="8">
        <v>215</v>
      </c>
      <c r="I154" s="8">
        <v>40920</v>
      </c>
      <c r="J154" s="8">
        <v>40816</v>
      </c>
      <c r="K154" s="8">
        <v>137</v>
      </c>
      <c r="L154" s="8" t="s">
        <v>62</v>
      </c>
      <c r="M154" s="8" t="s">
        <v>25</v>
      </c>
      <c r="N154" s="15">
        <f t="shared" si="2"/>
        <v>8.4946236559139784E-2</v>
      </c>
    </row>
    <row r="155" spans="1:14" x14ac:dyDescent="0.3">
      <c r="A155" s="10" t="s">
        <v>394</v>
      </c>
      <c r="B155" s="11" t="s">
        <v>43</v>
      </c>
      <c r="C155" s="12">
        <v>45740</v>
      </c>
      <c r="D155" s="11" t="s">
        <v>16</v>
      </c>
      <c r="E155" s="11" t="s">
        <v>65</v>
      </c>
      <c r="F155" s="11">
        <v>3360</v>
      </c>
      <c r="G155" s="11">
        <v>525</v>
      </c>
      <c r="H155" s="11">
        <v>500</v>
      </c>
      <c r="I155" s="11">
        <v>60480</v>
      </c>
      <c r="J155" s="11">
        <v>59610</v>
      </c>
      <c r="K155" s="11">
        <v>192</v>
      </c>
      <c r="L155" s="11" t="s">
        <v>30</v>
      </c>
      <c r="M155" s="11" t="s">
        <v>19</v>
      </c>
      <c r="N155" s="15">
        <f t="shared" si="2"/>
        <v>7.2503306878306875E-2</v>
      </c>
    </row>
    <row r="156" spans="1:14" x14ac:dyDescent="0.3">
      <c r="A156" s="7" t="s">
        <v>397</v>
      </c>
      <c r="B156" s="8" t="s">
        <v>27</v>
      </c>
      <c r="C156" s="9">
        <v>45629</v>
      </c>
      <c r="D156" s="8" t="s">
        <v>35</v>
      </c>
      <c r="E156" s="8" t="s">
        <v>154</v>
      </c>
      <c r="F156" s="8">
        <v>4285</v>
      </c>
      <c r="G156" s="8">
        <v>886</v>
      </c>
      <c r="H156" s="8">
        <v>376</v>
      </c>
      <c r="I156" s="8">
        <v>55705</v>
      </c>
      <c r="J156" s="8">
        <v>55556</v>
      </c>
      <c r="K156" s="8">
        <v>51</v>
      </c>
      <c r="L156" s="8" t="s">
        <v>62</v>
      </c>
      <c r="M156" s="8" t="s">
        <v>31</v>
      </c>
      <c r="N156" s="15">
        <f t="shared" si="2"/>
        <v>9.9578134817341346E-2</v>
      </c>
    </row>
    <row r="157" spans="1:14" x14ac:dyDescent="0.3">
      <c r="A157" s="10" t="s">
        <v>400</v>
      </c>
      <c r="B157" s="11" t="s">
        <v>14</v>
      </c>
      <c r="C157" s="12">
        <v>45546</v>
      </c>
      <c r="D157" s="11" t="s">
        <v>52</v>
      </c>
      <c r="E157" s="11" t="s">
        <v>132</v>
      </c>
      <c r="F157" s="11">
        <v>4858</v>
      </c>
      <c r="G157" s="11">
        <v>317</v>
      </c>
      <c r="H157" s="11">
        <v>129</v>
      </c>
      <c r="I157" s="11">
        <v>53438</v>
      </c>
      <c r="J157" s="11">
        <v>52687</v>
      </c>
      <c r="K157" s="11">
        <v>223</v>
      </c>
      <c r="L157" s="11" t="s">
        <v>37</v>
      </c>
      <c r="M157" s="11" t="s">
        <v>31</v>
      </c>
      <c r="N157" s="15">
        <f t="shared" si="2"/>
        <v>9.9255211647142488E-2</v>
      </c>
    </row>
    <row r="158" spans="1:14" x14ac:dyDescent="0.3">
      <c r="A158" s="7" t="s">
        <v>402</v>
      </c>
      <c r="B158" s="8" t="s">
        <v>27</v>
      </c>
      <c r="C158" s="9">
        <v>45567</v>
      </c>
      <c r="D158" s="8" t="s">
        <v>35</v>
      </c>
      <c r="E158" s="8" t="s">
        <v>154</v>
      </c>
      <c r="F158" s="8">
        <v>4350</v>
      </c>
      <c r="G158" s="8">
        <v>771</v>
      </c>
      <c r="H158" s="8">
        <v>7</v>
      </c>
      <c r="I158" s="8">
        <v>60900</v>
      </c>
      <c r="J158" s="8">
        <v>60592</v>
      </c>
      <c r="K158" s="8">
        <v>195</v>
      </c>
      <c r="L158" s="8" t="s">
        <v>37</v>
      </c>
      <c r="M158" s="8" t="s">
        <v>19</v>
      </c>
      <c r="N158" s="15">
        <f t="shared" si="2"/>
        <v>8.4203612479474554E-2</v>
      </c>
    </row>
    <row r="159" spans="1:14" x14ac:dyDescent="0.3">
      <c r="A159" s="10" t="s">
        <v>403</v>
      </c>
      <c r="B159" s="11" t="s">
        <v>33</v>
      </c>
      <c r="C159" s="12">
        <v>45519</v>
      </c>
      <c r="D159" s="11" t="s">
        <v>45</v>
      </c>
      <c r="E159" s="11" t="s">
        <v>88</v>
      </c>
      <c r="F159" s="11">
        <v>914</v>
      </c>
      <c r="G159" s="11">
        <v>464</v>
      </c>
      <c r="H159" s="11">
        <v>246</v>
      </c>
      <c r="I159" s="11">
        <v>11882</v>
      </c>
      <c r="J159" s="11">
        <v>11500</v>
      </c>
      <c r="K159" s="11">
        <v>282</v>
      </c>
      <c r="L159" s="11" t="s">
        <v>62</v>
      </c>
      <c r="M159" s="11" t="s">
        <v>38</v>
      </c>
      <c r="N159" s="15">
        <f t="shared" si="2"/>
        <v>0.13667732704931829</v>
      </c>
    </row>
    <row r="160" spans="1:14" x14ac:dyDescent="0.3">
      <c r="A160" s="7" t="s">
        <v>405</v>
      </c>
      <c r="B160" s="8" t="s">
        <v>33</v>
      </c>
      <c r="C160" s="9">
        <v>45645</v>
      </c>
      <c r="D160" s="8" t="s">
        <v>22</v>
      </c>
      <c r="E160" s="8" t="s">
        <v>113</v>
      </c>
      <c r="F160" s="8">
        <v>1813</v>
      </c>
      <c r="G160" s="8">
        <v>623</v>
      </c>
      <c r="H160" s="8">
        <v>72</v>
      </c>
      <c r="I160" s="8">
        <v>19943</v>
      </c>
      <c r="J160" s="8">
        <v>18959</v>
      </c>
      <c r="K160" s="8">
        <v>85</v>
      </c>
      <c r="L160" s="8" t="s">
        <v>37</v>
      </c>
      <c r="M160" s="8" t="s">
        <v>31</v>
      </c>
      <c r="N160" s="15">
        <f t="shared" si="2"/>
        <v>0.12575841147269717</v>
      </c>
    </row>
    <row r="161" spans="1:14" x14ac:dyDescent="0.3">
      <c r="A161" s="10" t="s">
        <v>407</v>
      </c>
      <c r="B161" s="11" t="s">
        <v>14</v>
      </c>
      <c r="C161" s="12">
        <v>45587</v>
      </c>
      <c r="D161" s="11" t="s">
        <v>16</v>
      </c>
      <c r="E161" s="11" t="s">
        <v>17</v>
      </c>
      <c r="F161" s="11">
        <v>4782</v>
      </c>
      <c r="G161" s="11">
        <v>721</v>
      </c>
      <c r="H161" s="11">
        <v>82</v>
      </c>
      <c r="I161" s="11">
        <v>86076</v>
      </c>
      <c r="J161" s="11">
        <v>85339</v>
      </c>
      <c r="K161" s="11">
        <v>19</v>
      </c>
      <c r="L161" s="11" t="s">
        <v>37</v>
      </c>
      <c r="M161" s="11" t="s">
        <v>19</v>
      </c>
      <c r="N161" s="15">
        <f t="shared" si="2"/>
        <v>6.4884520656164318E-2</v>
      </c>
    </row>
    <row r="162" spans="1:14" x14ac:dyDescent="0.3">
      <c r="A162" s="7" t="s">
        <v>408</v>
      </c>
      <c r="B162" s="8" t="s">
        <v>14</v>
      </c>
      <c r="C162" s="9">
        <v>45549</v>
      </c>
      <c r="D162" s="8" t="s">
        <v>52</v>
      </c>
      <c r="E162" s="8" t="s">
        <v>132</v>
      </c>
      <c r="F162" s="8">
        <v>1048</v>
      </c>
      <c r="G162" s="8">
        <v>374</v>
      </c>
      <c r="H162" s="8">
        <v>450</v>
      </c>
      <c r="I162" s="8">
        <v>9432</v>
      </c>
      <c r="J162" s="8">
        <v>8882</v>
      </c>
      <c r="K162" s="8">
        <v>158</v>
      </c>
      <c r="L162" s="8" t="s">
        <v>30</v>
      </c>
      <c r="M162" s="8" t="s">
        <v>31</v>
      </c>
      <c r="N162" s="15">
        <f t="shared" si="2"/>
        <v>0.19847328244274809</v>
      </c>
    </row>
    <row r="163" spans="1:14" x14ac:dyDescent="0.3">
      <c r="A163" s="10" t="s">
        <v>410</v>
      </c>
      <c r="B163" s="11" t="s">
        <v>27</v>
      </c>
      <c r="C163" s="12">
        <v>45626</v>
      </c>
      <c r="D163" s="11" t="s">
        <v>45</v>
      </c>
      <c r="E163" s="11" t="s">
        <v>68</v>
      </c>
      <c r="F163" s="11">
        <v>2509</v>
      </c>
      <c r="G163" s="11">
        <v>324</v>
      </c>
      <c r="H163" s="11">
        <v>171</v>
      </c>
      <c r="I163" s="11">
        <v>35126</v>
      </c>
      <c r="J163" s="11">
        <v>34685</v>
      </c>
      <c r="K163" s="11">
        <v>277</v>
      </c>
      <c r="L163" s="11" t="s">
        <v>30</v>
      </c>
      <c r="M163" s="11" t="s">
        <v>25</v>
      </c>
      <c r="N163" s="15">
        <f t="shared" si="2"/>
        <v>8.5520696919660646E-2</v>
      </c>
    </row>
    <row r="164" spans="1:14" x14ac:dyDescent="0.3">
      <c r="A164" s="7" t="s">
        <v>411</v>
      </c>
      <c r="B164" s="8" t="s">
        <v>43</v>
      </c>
      <c r="C164" s="9">
        <v>45754</v>
      </c>
      <c r="D164" s="8" t="s">
        <v>16</v>
      </c>
      <c r="E164" s="8" t="s">
        <v>65</v>
      </c>
      <c r="F164" s="8">
        <v>3718</v>
      </c>
      <c r="G164" s="8">
        <v>385</v>
      </c>
      <c r="H164" s="8">
        <v>310</v>
      </c>
      <c r="I164" s="8">
        <v>70642</v>
      </c>
      <c r="J164" s="8">
        <v>69749</v>
      </c>
      <c r="K164" s="8">
        <v>233</v>
      </c>
      <c r="L164" s="8" t="s">
        <v>30</v>
      </c>
      <c r="M164" s="8" t="s">
        <v>25</v>
      </c>
      <c r="N164" s="15">
        <f t="shared" si="2"/>
        <v>6.246991874522239E-2</v>
      </c>
    </row>
    <row r="165" spans="1:14" x14ac:dyDescent="0.3">
      <c r="A165" s="10" t="s">
        <v>413</v>
      </c>
      <c r="B165" s="11" t="s">
        <v>14</v>
      </c>
      <c r="C165" s="12">
        <v>45672</v>
      </c>
      <c r="D165" s="11" t="s">
        <v>16</v>
      </c>
      <c r="E165" s="11" t="s">
        <v>17</v>
      </c>
      <c r="F165" s="11">
        <v>802</v>
      </c>
      <c r="G165" s="11">
        <v>262</v>
      </c>
      <c r="H165" s="11">
        <v>244</v>
      </c>
      <c r="I165" s="11">
        <v>14436</v>
      </c>
      <c r="J165" s="11">
        <v>14280</v>
      </c>
      <c r="K165" s="11">
        <v>49</v>
      </c>
      <c r="L165" s="11" t="s">
        <v>37</v>
      </c>
      <c r="M165" s="11" t="s">
        <v>19</v>
      </c>
      <c r="N165" s="15">
        <f t="shared" si="2"/>
        <v>9.0606816292601824E-2</v>
      </c>
    </row>
    <row r="166" spans="1:14" x14ac:dyDescent="0.3">
      <c r="A166" s="7" t="s">
        <v>415</v>
      </c>
      <c r="B166" s="8" t="s">
        <v>43</v>
      </c>
      <c r="C166" s="9">
        <v>45445</v>
      </c>
      <c r="D166" s="8" t="s">
        <v>52</v>
      </c>
      <c r="E166" s="8" t="s">
        <v>59</v>
      </c>
      <c r="F166" s="8">
        <v>1871</v>
      </c>
      <c r="G166" s="8">
        <v>252</v>
      </c>
      <c r="H166" s="8">
        <v>335</v>
      </c>
      <c r="I166" s="8">
        <v>29936</v>
      </c>
      <c r="J166" s="8">
        <v>29576</v>
      </c>
      <c r="K166" s="8">
        <v>288</v>
      </c>
      <c r="L166" s="8" t="s">
        <v>37</v>
      </c>
      <c r="M166" s="8" t="s">
        <v>31</v>
      </c>
      <c r="N166" s="15">
        <f t="shared" si="2"/>
        <v>8.2108498129342594E-2</v>
      </c>
    </row>
    <row r="167" spans="1:14" x14ac:dyDescent="0.3">
      <c r="A167" s="10" t="s">
        <v>417</v>
      </c>
      <c r="B167" s="11" t="s">
        <v>33</v>
      </c>
      <c r="C167" s="12">
        <v>45617</v>
      </c>
      <c r="D167" s="11" t="s">
        <v>45</v>
      </c>
      <c r="E167" s="11" t="s">
        <v>88</v>
      </c>
      <c r="F167" s="11">
        <v>3773</v>
      </c>
      <c r="G167" s="11">
        <v>299</v>
      </c>
      <c r="H167" s="11">
        <v>38</v>
      </c>
      <c r="I167" s="11">
        <v>71687</v>
      </c>
      <c r="J167" s="11">
        <v>71447</v>
      </c>
      <c r="K167" s="11">
        <v>286</v>
      </c>
      <c r="L167" s="11" t="s">
        <v>62</v>
      </c>
      <c r="M167" s="11" t="s">
        <v>19</v>
      </c>
      <c r="N167" s="15">
        <f t="shared" si="2"/>
        <v>5.7332570758993957E-2</v>
      </c>
    </row>
    <row r="168" spans="1:14" x14ac:dyDescent="0.3">
      <c r="A168" s="7" t="s">
        <v>419</v>
      </c>
      <c r="B168" s="8" t="s">
        <v>33</v>
      </c>
      <c r="C168" s="9">
        <v>45658</v>
      </c>
      <c r="D168" s="8" t="s">
        <v>45</v>
      </c>
      <c r="E168" s="8" t="s">
        <v>88</v>
      </c>
      <c r="F168" s="8">
        <v>2234</v>
      </c>
      <c r="G168" s="8">
        <v>653</v>
      </c>
      <c r="H168" s="8">
        <v>432</v>
      </c>
      <c r="I168" s="8">
        <v>11170</v>
      </c>
      <c r="J168" s="8">
        <v>10569</v>
      </c>
      <c r="K168" s="8">
        <v>198</v>
      </c>
      <c r="L168" s="8" t="s">
        <v>62</v>
      </c>
      <c r="M168" s="8" t="s">
        <v>31</v>
      </c>
      <c r="N168" s="15">
        <f t="shared" si="2"/>
        <v>0.29713518352730528</v>
      </c>
    </row>
    <row r="169" spans="1:14" x14ac:dyDescent="0.3">
      <c r="A169" s="10" t="s">
        <v>420</v>
      </c>
      <c r="B169" s="11" t="s">
        <v>14</v>
      </c>
      <c r="C169" s="12">
        <v>45771</v>
      </c>
      <c r="D169" s="11" t="s">
        <v>74</v>
      </c>
      <c r="E169" s="11" t="s">
        <v>145</v>
      </c>
      <c r="F169" s="11">
        <v>3820</v>
      </c>
      <c r="G169" s="11">
        <v>697</v>
      </c>
      <c r="H169" s="11">
        <v>268</v>
      </c>
      <c r="I169" s="11">
        <v>45840</v>
      </c>
      <c r="J169" s="11">
        <v>45631</v>
      </c>
      <c r="K169" s="11">
        <v>171</v>
      </c>
      <c r="L169" s="11" t="s">
        <v>30</v>
      </c>
      <c r="M169" s="11" t="s">
        <v>38</v>
      </c>
      <c r="N169" s="15">
        <f t="shared" si="2"/>
        <v>0.1043848167539267</v>
      </c>
    </row>
    <row r="170" spans="1:14" x14ac:dyDescent="0.3">
      <c r="A170" s="7" t="s">
        <v>422</v>
      </c>
      <c r="B170" s="8" t="s">
        <v>14</v>
      </c>
      <c r="C170" s="9">
        <v>45467</v>
      </c>
      <c r="D170" s="8" t="s">
        <v>22</v>
      </c>
      <c r="E170" s="8" t="s">
        <v>23</v>
      </c>
      <c r="F170" s="8">
        <v>941</v>
      </c>
      <c r="G170" s="8">
        <v>121</v>
      </c>
      <c r="H170" s="8">
        <v>458</v>
      </c>
      <c r="I170" s="8">
        <v>14115</v>
      </c>
      <c r="J170" s="8">
        <v>13838</v>
      </c>
      <c r="K170" s="8">
        <v>87</v>
      </c>
      <c r="L170" s="8" t="s">
        <v>37</v>
      </c>
      <c r="M170" s="8" t="s">
        <v>19</v>
      </c>
      <c r="N170" s="15">
        <f t="shared" si="2"/>
        <v>0.10768685795253277</v>
      </c>
    </row>
    <row r="171" spans="1:14" x14ac:dyDescent="0.3">
      <c r="A171" s="10" t="s">
        <v>423</v>
      </c>
      <c r="B171" s="11" t="s">
        <v>14</v>
      </c>
      <c r="C171" s="12">
        <v>45655</v>
      </c>
      <c r="D171" s="11" t="s">
        <v>45</v>
      </c>
      <c r="E171" s="11" t="s">
        <v>49</v>
      </c>
      <c r="F171" s="11">
        <v>4274</v>
      </c>
      <c r="G171" s="11">
        <v>340</v>
      </c>
      <c r="H171" s="11">
        <v>281</v>
      </c>
      <c r="I171" s="11">
        <v>34192</v>
      </c>
      <c r="J171" s="11">
        <v>33446</v>
      </c>
      <c r="K171" s="11">
        <v>129</v>
      </c>
      <c r="L171" s="11" t="s">
        <v>30</v>
      </c>
      <c r="M171" s="11" t="s">
        <v>31</v>
      </c>
      <c r="N171" s="15">
        <f t="shared" si="2"/>
        <v>0.14316214319138981</v>
      </c>
    </row>
    <row r="172" spans="1:14" x14ac:dyDescent="0.3">
      <c r="A172" s="7" t="s">
        <v>425</v>
      </c>
      <c r="B172" s="8" t="s">
        <v>27</v>
      </c>
      <c r="C172" s="9">
        <v>45467</v>
      </c>
      <c r="D172" s="8" t="s">
        <v>74</v>
      </c>
      <c r="E172" s="8" t="s">
        <v>219</v>
      </c>
      <c r="F172" s="8">
        <v>2949</v>
      </c>
      <c r="G172" s="8">
        <v>476</v>
      </c>
      <c r="H172" s="8">
        <v>403</v>
      </c>
      <c r="I172" s="8">
        <v>44235</v>
      </c>
      <c r="J172" s="8">
        <v>43705</v>
      </c>
      <c r="K172" s="8">
        <v>135</v>
      </c>
      <c r="L172" s="8" t="s">
        <v>30</v>
      </c>
      <c r="M172" s="8" t="s">
        <v>25</v>
      </c>
      <c r="N172" s="15">
        <f t="shared" si="2"/>
        <v>8.6537809426924378E-2</v>
      </c>
    </row>
    <row r="173" spans="1:14" x14ac:dyDescent="0.3">
      <c r="A173" s="10" t="s">
        <v>426</v>
      </c>
      <c r="B173" s="11" t="s">
        <v>14</v>
      </c>
      <c r="C173" s="12">
        <v>45735</v>
      </c>
      <c r="D173" s="11" t="s">
        <v>74</v>
      </c>
      <c r="E173" s="11" t="s">
        <v>145</v>
      </c>
      <c r="F173" s="11">
        <v>3160</v>
      </c>
      <c r="G173" s="11">
        <v>204</v>
      </c>
      <c r="H173" s="11">
        <v>297</v>
      </c>
      <c r="I173" s="11">
        <v>44240</v>
      </c>
      <c r="J173" s="11">
        <v>43666</v>
      </c>
      <c r="K173" s="11">
        <v>49</v>
      </c>
      <c r="L173" s="11" t="s">
        <v>62</v>
      </c>
      <c r="M173" s="11" t="s">
        <v>38</v>
      </c>
      <c r="N173" s="15">
        <f t="shared" si="2"/>
        <v>8.2753164556962022E-2</v>
      </c>
    </row>
    <row r="174" spans="1:14" x14ac:dyDescent="0.3">
      <c r="A174" s="7" t="s">
        <v>428</v>
      </c>
      <c r="B174" s="8" t="s">
        <v>27</v>
      </c>
      <c r="C174" s="9">
        <v>45707</v>
      </c>
      <c r="D174" s="8" t="s">
        <v>52</v>
      </c>
      <c r="E174" s="8" t="s">
        <v>53</v>
      </c>
      <c r="F174" s="8">
        <v>257</v>
      </c>
      <c r="G174" s="8">
        <v>966</v>
      </c>
      <c r="H174" s="8">
        <v>398</v>
      </c>
      <c r="I174" s="8">
        <v>3341</v>
      </c>
      <c r="J174" s="8">
        <v>2753</v>
      </c>
      <c r="K174" s="8">
        <v>287</v>
      </c>
      <c r="L174" s="8" t="s">
        <v>62</v>
      </c>
      <c r="M174" s="8" t="s">
        <v>19</v>
      </c>
      <c r="N174" s="15">
        <f t="shared" si="2"/>
        <v>0.48518407662376534</v>
      </c>
    </row>
    <row r="175" spans="1:14" x14ac:dyDescent="0.3">
      <c r="A175" s="10" t="s">
        <v>429</v>
      </c>
      <c r="B175" s="11" t="s">
        <v>14</v>
      </c>
      <c r="C175" s="12">
        <v>45491</v>
      </c>
      <c r="D175" s="11" t="s">
        <v>45</v>
      </c>
      <c r="E175" s="11" t="s">
        <v>49</v>
      </c>
      <c r="F175" s="11">
        <v>2120</v>
      </c>
      <c r="G175" s="11">
        <v>38</v>
      </c>
      <c r="H175" s="11">
        <v>212</v>
      </c>
      <c r="I175" s="11">
        <v>12720</v>
      </c>
      <c r="J175" s="11">
        <v>12564</v>
      </c>
      <c r="K175" s="11">
        <v>21</v>
      </c>
      <c r="L175" s="11" t="s">
        <v>62</v>
      </c>
      <c r="M175" s="11" t="s">
        <v>38</v>
      </c>
      <c r="N175" s="15">
        <f t="shared" si="2"/>
        <v>0.18632075471698112</v>
      </c>
    </row>
    <row r="176" spans="1:14" x14ac:dyDescent="0.3">
      <c r="A176" s="7" t="s">
        <v>431</v>
      </c>
      <c r="B176" s="8" t="s">
        <v>27</v>
      </c>
      <c r="C176" s="9">
        <v>45719</v>
      </c>
      <c r="D176" s="8" t="s">
        <v>74</v>
      </c>
      <c r="E176" s="8" t="s">
        <v>219</v>
      </c>
      <c r="F176" s="8">
        <v>3874</v>
      </c>
      <c r="G176" s="8">
        <v>884</v>
      </c>
      <c r="H176" s="8">
        <v>19</v>
      </c>
      <c r="I176" s="8">
        <v>38740</v>
      </c>
      <c r="J176" s="8">
        <v>38552</v>
      </c>
      <c r="K176" s="8">
        <v>219</v>
      </c>
      <c r="L176" s="8" t="s">
        <v>30</v>
      </c>
      <c r="M176" s="8" t="s">
        <v>25</v>
      </c>
      <c r="N176" s="15">
        <f t="shared" si="2"/>
        <v>0.123309241094476</v>
      </c>
    </row>
    <row r="177" spans="1:14" x14ac:dyDescent="0.3">
      <c r="A177" s="10" t="s">
        <v>432</v>
      </c>
      <c r="B177" s="11" t="s">
        <v>43</v>
      </c>
      <c r="C177" s="12">
        <v>45778</v>
      </c>
      <c r="D177" s="11" t="s">
        <v>45</v>
      </c>
      <c r="E177" s="11" t="s">
        <v>46</v>
      </c>
      <c r="F177" s="11">
        <v>2696</v>
      </c>
      <c r="G177" s="11">
        <v>628</v>
      </c>
      <c r="H177" s="11">
        <v>443</v>
      </c>
      <c r="I177" s="11">
        <v>45832</v>
      </c>
      <c r="J177" s="11">
        <v>45632</v>
      </c>
      <c r="K177" s="11">
        <v>248</v>
      </c>
      <c r="L177" s="11" t="s">
        <v>37</v>
      </c>
      <c r="M177" s="11" t="s">
        <v>38</v>
      </c>
      <c r="N177" s="15">
        <f t="shared" si="2"/>
        <v>8.21914819340199E-2</v>
      </c>
    </row>
    <row r="178" spans="1:14" x14ac:dyDescent="0.3">
      <c r="A178" s="7" t="s">
        <v>434</v>
      </c>
      <c r="B178" s="8" t="s">
        <v>33</v>
      </c>
      <c r="C178" s="9">
        <v>45649</v>
      </c>
      <c r="D178" s="8" t="s">
        <v>52</v>
      </c>
      <c r="E178" s="8" t="s">
        <v>215</v>
      </c>
      <c r="F178" s="8">
        <v>521</v>
      </c>
      <c r="G178" s="8">
        <v>746</v>
      </c>
      <c r="H178" s="8">
        <v>315</v>
      </c>
      <c r="I178" s="8">
        <v>4168</v>
      </c>
      <c r="J178" s="8">
        <v>3399</v>
      </c>
      <c r="K178" s="8">
        <v>282</v>
      </c>
      <c r="L178" s="8" t="s">
        <v>62</v>
      </c>
      <c r="M178" s="8" t="s">
        <v>25</v>
      </c>
      <c r="N178" s="15">
        <f t="shared" si="2"/>
        <v>0.37955854126679461</v>
      </c>
    </row>
    <row r="179" spans="1:14" x14ac:dyDescent="0.3">
      <c r="A179" s="10" t="s">
        <v>435</v>
      </c>
      <c r="B179" s="11" t="s">
        <v>43</v>
      </c>
      <c r="C179" s="12">
        <v>45783</v>
      </c>
      <c r="D179" s="11" t="s">
        <v>52</v>
      </c>
      <c r="E179" s="11" t="s">
        <v>59</v>
      </c>
      <c r="F179" s="11">
        <v>4872</v>
      </c>
      <c r="G179" s="11">
        <v>925</v>
      </c>
      <c r="H179" s="11">
        <v>176</v>
      </c>
      <c r="I179" s="11">
        <v>82824</v>
      </c>
      <c r="J179" s="11">
        <v>82543</v>
      </c>
      <c r="K179" s="11">
        <v>89</v>
      </c>
      <c r="L179" s="11" t="s">
        <v>37</v>
      </c>
      <c r="M179" s="11" t="s">
        <v>25</v>
      </c>
      <c r="N179" s="15">
        <f t="shared" si="2"/>
        <v>7.2116777745580993E-2</v>
      </c>
    </row>
    <row r="180" spans="1:14" x14ac:dyDescent="0.3">
      <c r="A180" s="7" t="s">
        <v>437</v>
      </c>
      <c r="B180" s="8" t="s">
        <v>27</v>
      </c>
      <c r="C180" s="9">
        <v>45502</v>
      </c>
      <c r="D180" s="8" t="s">
        <v>35</v>
      </c>
      <c r="E180" s="8" t="s">
        <v>154</v>
      </c>
      <c r="F180" s="8">
        <v>1509</v>
      </c>
      <c r="G180" s="8">
        <v>88</v>
      </c>
      <c r="H180" s="8">
        <v>163</v>
      </c>
      <c r="I180" s="8">
        <v>30180</v>
      </c>
      <c r="J180" s="8">
        <v>29689</v>
      </c>
      <c r="K180" s="8">
        <v>119</v>
      </c>
      <c r="L180" s="8" t="s">
        <v>37</v>
      </c>
      <c r="M180" s="8" t="s">
        <v>25</v>
      </c>
      <c r="N180" s="15">
        <f t="shared" si="2"/>
        <v>5.8316766070245198E-2</v>
      </c>
    </row>
    <row r="181" spans="1:14" x14ac:dyDescent="0.3">
      <c r="A181" s="10" t="s">
        <v>439</v>
      </c>
      <c r="B181" s="11" t="s">
        <v>43</v>
      </c>
      <c r="C181" s="12">
        <v>45454</v>
      </c>
      <c r="D181" s="11" t="s">
        <v>45</v>
      </c>
      <c r="E181" s="11" t="s">
        <v>46</v>
      </c>
      <c r="F181" s="11">
        <v>1869</v>
      </c>
      <c r="G181" s="11">
        <v>453</v>
      </c>
      <c r="H181" s="11">
        <v>490</v>
      </c>
      <c r="I181" s="11">
        <v>14952</v>
      </c>
      <c r="J181" s="11">
        <v>14309</v>
      </c>
      <c r="K181" s="11">
        <v>275</v>
      </c>
      <c r="L181" s="11" t="s">
        <v>30</v>
      </c>
      <c r="M181" s="11" t="s">
        <v>38</v>
      </c>
      <c r="N181" s="15">
        <f t="shared" si="2"/>
        <v>0.18806848582129482</v>
      </c>
    </row>
    <row r="182" spans="1:14" x14ac:dyDescent="0.3">
      <c r="A182" s="7" t="s">
        <v>440</v>
      </c>
      <c r="B182" s="8" t="s">
        <v>14</v>
      </c>
      <c r="C182" s="9">
        <v>45685</v>
      </c>
      <c r="D182" s="8" t="s">
        <v>16</v>
      </c>
      <c r="E182" s="8" t="s">
        <v>17</v>
      </c>
      <c r="F182" s="8">
        <v>1188</v>
      </c>
      <c r="G182" s="8">
        <v>470</v>
      </c>
      <c r="H182" s="8">
        <v>174</v>
      </c>
      <c r="I182" s="8">
        <v>7128</v>
      </c>
      <c r="J182" s="8">
        <v>6145</v>
      </c>
      <c r="K182" s="8">
        <v>270</v>
      </c>
      <c r="L182" s="8" t="s">
        <v>30</v>
      </c>
      <c r="M182" s="8" t="s">
        <v>38</v>
      </c>
      <c r="N182" s="15">
        <f t="shared" si="2"/>
        <v>0.25701459034792368</v>
      </c>
    </row>
    <row r="183" spans="1:14" x14ac:dyDescent="0.3">
      <c r="A183" s="10" t="s">
        <v>443</v>
      </c>
      <c r="B183" s="11" t="s">
        <v>43</v>
      </c>
      <c r="C183" s="12">
        <v>45573</v>
      </c>
      <c r="D183" s="11" t="s">
        <v>16</v>
      </c>
      <c r="E183" s="11" t="s">
        <v>65</v>
      </c>
      <c r="F183" s="11">
        <v>1814</v>
      </c>
      <c r="G183" s="11">
        <v>653</v>
      </c>
      <c r="H183" s="11">
        <v>363</v>
      </c>
      <c r="I183" s="11">
        <v>25396</v>
      </c>
      <c r="J183" s="11">
        <v>25286</v>
      </c>
      <c r="K183" s="11">
        <v>39</v>
      </c>
      <c r="L183" s="11" t="s">
        <v>62</v>
      </c>
      <c r="M183" s="11" t="s">
        <v>19</v>
      </c>
      <c r="N183" s="15">
        <f t="shared" si="2"/>
        <v>0.11143487163332809</v>
      </c>
    </row>
    <row r="184" spans="1:14" x14ac:dyDescent="0.3">
      <c r="A184" s="7" t="s">
        <v>447</v>
      </c>
      <c r="B184" s="8" t="s">
        <v>43</v>
      </c>
      <c r="C184" s="9">
        <v>45790</v>
      </c>
      <c r="D184" s="8" t="s">
        <v>52</v>
      </c>
      <c r="E184" s="8" t="s">
        <v>59</v>
      </c>
      <c r="F184" s="8">
        <v>602</v>
      </c>
      <c r="G184" s="8">
        <v>594</v>
      </c>
      <c r="H184" s="8">
        <v>156</v>
      </c>
      <c r="I184" s="8">
        <v>4214</v>
      </c>
      <c r="J184" s="8">
        <v>3363</v>
      </c>
      <c r="K184" s="8">
        <v>164</v>
      </c>
      <c r="L184" s="8" t="s">
        <v>30</v>
      </c>
      <c r="M184" s="8" t="s">
        <v>31</v>
      </c>
      <c r="N184" s="15">
        <f t="shared" si="2"/>
        <v>0.32083531086853345</v>
      </c>
    </row>
    <row r="185" spans="1:14" x14ac:dyDescent="0.3">
      <c r="A185" s="10" t="s">
        <v>452</v>
      </c>
      <c r="B185" s="11" t="s">
        <v>33</v>
      </c>
      <c r="C185" s="12">
        <v>45455</v>
      </c>
      <c r="D185" s="11" t="s">
        <v>22</v>
      </c>
      <c r="E185" s="11" t="s">
        <v>113</v>
      </c>
      <c r="F185" s="11">
        <v>246</v>
      </c>
      <c r="G185" s="11">
        <v>149</v>
      </c>
      <c r="H185" s="11">
        <v>130</v>
      </c>
      <c r="I185" s="11">
        <v>4674</v>
      </c>
      <c r="J185" s="11">
        <v>4390</v>
      </c>
      <c r="K185" s="11">
        <v>217</v>
      </c>
      <c r="L185" s="11" t="s">
        <v>62</v>
      </c>
      <c r="M185" s="11" t="s">
        <v>31</v>
      </c>
      <c r="N185" s="15">
        <f t="shared" si="2"/>
        <v>0.11232349165596919</v>
      </c>
    </row>
    <row r="186" spans="1:14" x14ac:dyDescent="0.3">
      <c r="A186" s="7" t="s">
        <v>454</v>
      </c>
      <c r="B186" s="8" t="s">
        <v>33</v>
      </c>
      <c r="C186" s="9">
        <v>45474</v>
      </c>
      <c r="D186" s="8" t="s">
        <v>35</v>
      </c>
      <c r="E186" s="8" t="s">
        <v>36</v>
      </c>
      <c r="F186" s="8">
        <v>4808</v>
      </c>
      <c r="G186" s="8">
        <v>772</v>
      </c>
      <c r="H186" s="8">
        <v>320</v>
      </c>
      <c r="I186" s="8">
        <v>72120</v>
      </c>
      <c r="J186" s="8">
        <v>71696</v>
      </c>
      <c r="K186" s="8">
        <v>195</v>
      </c>
      <c r="L186" s="8" t="s">
        <v>37</v>
      </c>
      <c r="M186" s="8" t="s">
        <v>19</v>
      </c>
      <c r="N186" s="15">
        <f t="shared" si="2"/>
        <v>8.1808097615085965E-2</v>
      </c>
    </row>
    <row r="187" spans="1:14" x14ac:dyDescent="0.3">
      <c r="A187" s="10" t="s">
        <v>457</v>
      </c>
      <c r="B187" s="11" t="s">
        <v>43</v>
      </c>
      <c r="C187" s="12">
        <v>45488</v>
      </c>
      <c r="D187" s="11" t="s">
        <v>16</v>
      </c>
      <c r="E187" s="11" t="s">
        <v>65</v>
      </c>
      <c r="F187" s="11">
        <v>3663</v>
      </c>
      <c r="G187" s="11">
        <v>17</v>
      </c>
      <c r="H187" s="11">
        <v>295</v>
      </c>
      <c r="I187" s="11">
        <v>51282</v>
      </c>
      <c r="J187" s="11">
        <v>50567</v>
      </c>
      <c r="K187" s="11">
        <v>84</v>
      </c>
      <c r="L187" s="11" t="s">
        <v>37</v>
      </c>
      <c r="M187" s="11" t="s">
        <v>31</v>
      </c>
      <c r="N187" s="15">
        <f t="shared" si="2"/>
        <v>7.7512577512577507E-2</v>
      </c>
    </row>
    <row r="188" spans="1:14" x14ac:dyDescent="0.3">
      <c r="A188" s="7" t="s">
        <v>458</v>
      </c>
      <c r="B188" s="8" t="s">
        <v>33</v>
      </c>
      <c r="C188" s="9">
        <v>45778</v>
      </c>
      <c r="D188" s="8" t="s">
        <v>22</v>
      </c>
      <c r="E188" s="8" t="s">
        <v>113</v>
      </c>
      <c r="F188" s="8">
        <v>1430</v>
      </c>
      <c r="G188" s="8">
        <v>376</v>
      </c>
      <c r="H188" s="8">
        <v>33</v>
      </c>
      <c r="I188" s="8">
        <v>21450</v>
      </c>
      <c r="J188" s="8">
        <v>20509</v>
      </c>
      <c r="K188" s="8">
        <v>251</v>
      </c>
      <c r="L188" s="8" t="s">
        <v>62</v>
      </c>
      <c r="M188" s="8" t="s">
        <v>19</v>
      </c>
      <c r="N188" s="15">
        <f t="shared" si="2"/>
        <v>8.5734265734265735E-2</v>
      </c>
    </row>
    <row r="189" spans="1:14" x14ac:dyDescent="0.3">
      <c r="A189" s="10" t="s">
        <v>459</v>
      </c>
      <c r="B189" s="11" t="s">
        <v>14</v>
      </c>
      <c r="C189" s="12">
        <v>45776</v>
      </c>
      <c r="D189" s="11" t="s">
        <v>35</v>
      </c>
      <c r="E189" s="11" t="s">
        <v>149</v>
      </c>
      <c r="F189" s="11">
        <v>249</v>
      </c>
      <c r="G189" s="11">
        <v>592</v>
      </c>
      <c r="H189" s="11">
        <v>230</v>
      </c>
      <c r="I189" s="11">
        <v>1494</v>
      </c>
      <c r="J189" s="11">
        <v>1044</v>
      </c>
      <c r="K189" s="11">
        <v>201</v>
      </c>
      <c r="L189" s="11" t="s">
        <v>37</v>
      </c>
      <c r="M189" s="11" t="s">
        <v>38</v>
      </c>
      <c r="N189" s="15">
        <f t="shared" si="2"/>
        <v>0.7168674698795181</v>
      </c>
    </row>
    <row r="190" spans="1:14" x14ac:dyDescent="0.3">
      <c r="A190" s="7" t="s">
        <v>461</v>
      </c>
      <c r="B190" s="8" t="s">
        <v>43</v>
      </c>
      <c r="C190" s="9">
        <v>45724</v>
      </c>
      <c r="D190" s="8" t="s">
        <v>52</v>
      </c>
      <c r="E190" s="8" t="s">
        <v>59</v>
      </c>
      <c r="F190" s="8">
        <v>2382</v>
      </c>
      <c r="G190" s="8">
        <v>265</v>
      </c>
      <c r="H190" s="8">
        <v>134</v>
      </c>
      <c r="I190" s="8">
        <v>38112</v>
      </c>
      <c r="J190" s="8">
        <v>37437</v>
      </c>
      <c r="K190" s="8">
        <v>249</v>
      </c>
      <c r="L190" s="8" t="s">
        <v>62</v>
      </c>
      <c r="M190" s="8" t="s">
        <v>38</v>
      </c>
      <c r="N190" s="15">
        <f t="shared" si="2"/>
        <v>7.2969143576826198E-2</v>
      </c>
    </row>
    <row r="191" spans="1:14" x14ac:dyDescent="0.3">
      <c r="A191" s="10" t="s">
        <v>464</v>
      </c>
      <c r="B191" s="11" t="s">
        <v>43</v>
      </c>
      <c r="C191" s="12">
        <v>45648</v>
      </c>
      <c r="D191" s="11" t="s">
        <v>52</v>
      </c>
      <c r="E191" s="11" t="s">
        <v>59</v>
      </c>
      <c r="F191" s="11">
        <v>3196</v>
      </c>
      <c r="G191" s="11">
        <v>941</v>
      </c>
      <c r="H191" s="11">
        <v>376</v>
      </c>
      <c r="I191" s="11">
        <v>35156</v>
      </c>
      <c r="J191" s="11">
        <v>34444</v>
      </c>
      <c r="K191" s="11">
        <v>241</v>
      </c>
      <c r="L191" s="11" t="s">
        <v>30</v>
      </c>
      <c r="M191" s="11" t="s">
        <v>31</v>
      </c>
      <c r="N191" s="15">
        <f t="shared" si="2"/>
        <v>0.1283706906360223</v>
      </c>
    </row>
    <row r="192" spans="1:14" x14ac:dyDescent="0.3">
      <c r="A192" s="7" t="s">
        <v>465</v>
      </c>
      <c r="B192" s="8" t="s">
        <v>43</v>
      </c>
      <c r="C192" s="9">
        <v>45523</v>
      </c>
      <c r="D192" s="8" t="s">
        <v>22</v>
      </c>
      <c r="E192" s="8" t="s">
        <v>56</v>
      </c>
      <c r="F192" s="8">
        <v>1257</v>
      </c>
      <c r="G192" s="8">
        <v>19</v>
      </c>
      <c r="H192" s="8">
        <v>351</v>
      </c>
      <c r="I192" s="8">
        <v>12570</v>
      </c>
      <c r="J192" s="8">
        <v>11660</v>
      </c>
      <c r="K192" s="8">
        <v>194</v>
      </c>
      <c r="L192" s="8" t="s">
        <v>62</v>
      </c>
      <c r="M192" s="8" t="s">
        <v>25</v>
      </c>
      <c r="N192" s="15">
        <f t="shared" si="2"/>
        <v>0.12943516308671441</v>
      </c>
    </row>
    <row r="193" spans="1:14" x14ac:dyDescent="0.3">
      <c r="A193" s="10" t="s">
        <v>467</v>
      </c>
      <c r="B193" s="11" t="s">
        <v>33</v>
      </c>
      <c r="C193" s="12">
        <v>45587</v>
      </c>
      <c r="D193" s="11" t="s">
        <v>35</v>
      </c>
      <c r="E193" s="11" t="s">
        <v>36</v>
      </c>
      <c r="F193" s="11">
        <v>3770</v>
      </c>
      <c r="G193" s="11">
        <v>917</v>
      </c>
      <c r="H193" s="11">
        <v>129</v>
      </c>
      <c r="I193" s="11">
        <v>71630</v>
      </c>
      <c r="J193" s="11">
        <v>71322</v>
      </c>
      <c r="K193" s="11">
        <v>76</v>
      </c>
      <c r="L193" s="11" t="s">
        <v>62</v>
      </c>
      <c r="M193" s="11" t="s">
        <v>19</v>
      </c>
      <c r="N193" s="15">
        <f t="shared" si="2"/>
        <v>6.7234398994834563E-2</v>
      </c>
    </row>
    <row r="194" spans="1:14" x14ac:dyDescent="0.3">
      <c r="A194" s="7" t="s">
        <v>468</v>
      </c>
      <c r="B194" s="8" t="s">
        <v>14</v>
      </c>
      <c r="C194" s="9">
        <v>45489</v>
      </c>
      <c r="D194" s="8" t="s">
        <v>22</v>
      </c>
      <c r="E194" s="8" t="s">
        <v>23</v>
      </c>
      <c r="F194" s="8">
        <v>4725</v>
      </c>
      <c r="G194" s="8">
        <v>400</v>
      </c>
      <c r="H194" s="8">
        <v>362</v>
      </c>
      <c r="I194" s="8">
        <v>75600</v>
      </c>
      <c r="J194" s="8">
        <v>74927</v>
      </c>
      <c r="K194" s="8">
        <v>43</v>
      </c>
      <c r="L194" s="8" t="s">
        <v>62</v>
      </c>
      <c r="M194" s="8" t="s">
        <v>38</v>
      </c>
      <c r="N194" s="15">
        <f t="shared" si="2"/>
        <v>7.2579365079365077E-2</v>
      </c>
    </row>
    <row r="195" spans="1:14" x14ac:dyDescent="0.3">
      <c r="A195" s="10" t="s">
        <v>471</v>
      </c>
      <c r="B195" s="11" t="s">
        <v>14</v>
      </c>
      <c r="C195" s="12">
        <v>45530</v>
      </c>
      <c r="D195" s="11" t="s">
        <v>45</v>
      </c>
      <c r="E195" s="11" t="s">
        <v>49</v>
      </c>
      <c r="F195" s="11">
        <v>929</v>
      </c>
      <c r="G195" s="11">
        <v>192</v>
      </c>
      <c r="H195" s="11">
        <v>322</v>
      </c>
      <c r="I195" s="11">
        <v>16722</v>
      </c>
      <c r="J195" s="11">
        <v>15996</v>
      </c>
      <c r="K195" s="11">
        <v>145</v>
      </c>
      <c r="L195" s="11" t="s">
        <v>37</v>
      </c>
      <c r="M195" s="11" t="s">
        <v>31</v>
      </c>
      <c r="N195" s="15">
        <f t="shared" ref="N195:N245" si="3">(F195+G195+H195)/I195</f>
        <v>8.6293505561535699E-2</v>
      </c>
    </row>
    <row r="196" spans="1:14" x14ac:dyDescent="0.3">
      <c r="A196" s="7" t="s">
        <v>472</v>
      </c>
      <c r="B196" s="8" t="s">
        <v>43</v>
      </c>
      <c r="C196" s="9">
        <v>45675</v>
      </c>
      <c r="D196" s="8" t="s">
        <v>35</v>
      </c>
      <c r="E196" s="8" t="s">
        <v>71</v>
      </c>
      <c r="F196" s="8">
        <v>4321</v>
      </c>
      <c r="G196" s="8">
        <v>874</v>
      </c>
      <c r="H196" s="8">
        <v>172</v>
      </c>
      <c r="I196" s="8">
        <v>30247</v>
      </c>
      <c r="J196" s="8">
        <v>29254</v>
      </c>
      <c r="K196" s="8">
        <v>122</v>
      </c>
      <c r="L196" s="8" t="s">
        <v>30</v>
      </c>
      <c r="M196" s="8" t="s">
        <v>38</v>
      </c>
      <c r="N196" s="15">
        <f t="shared" si="3"/>
        <v>0.17743908486792079</v>
      </c>
    </row>
    <row r="197" spans="1:14" x14ac:dyDescent="0.3">
      <c r="A197" s="10" t="s">
        <v>474</v>
      </c>
      <c r="B197" s="11" t="s">
        <v>43</v>
      </c>
      <c r="C197" s="12">
        <v>45480</v>
      </c>
      <c r="D197" s="11" t="s">
        <v>16</v>
      </c>
      <c r="E197" s="11" t="s">
        <v>65</v>
      </c>
      <c r="F197" s="11">
        <v>4767</v>
      </c>
      <c r="G197" s="11">
        <v>190</v>
      </c>
      <c r="H197" s="11">
        <v>340</v>
      </c>
      <c r="I197" s="11">
        <v>28602</v>
      </c>
      <c r="J197" s="11">
        <v>28044</v>
      </c>
      <c r="K197" s="11">
        <v>210</v>
      </c>
      <c r="L197" s="11" t="s">
        <v>37</v>
      </c>
      <c r="M197" s="11" t="s">
        <v>31</v>
      </c>
      <c r="N197" s="15">
        <f t="shared" si="3"/>
        <v>0.18519683938186141</v>
      </c>
    </row>
    <row r="198" spans="1:14" x14ac:dyDescent="0.3">
      <c r="A198" s="7" t="s">
        <v>475</v>
      </c>
      <c r="B198" s="8" t="s">
        <v>14</v>
      </c>
      <c r="C198" s="9">
        <v>45722</v>
      </c>
      <c r="D198" s="8" t="s">
        <v>52</v>
      </c>
      <c r="E198" s="8" t="s">
        <v>132</v>
      </c>
      <c r="F198" s="8">
        <v>3592</v>
      </c>
      <c r="G198" s="8">
        <v>911</v>
      </c>
      <c r="H198" s="8">
        <v>375</v>
      </c>
      <c r="I198" s="8">
        <v>50288</v>
      </c>
      <c r="J198" s="8">
        <v>49490</v>
      </c>
      <c r="K198" s="8">
        <v>32</v>
      </c>
      <c r="L198" s="8" t="s">
        <v>62</v>
      </c>
      <c r="M198" s="8" t="s">
        <v>38</v>
      </c>
      <c r="N198" s="15">
        <f t="shared" si="3"/>
        <v>9.7001272669424113E-2</v>
      </c>
    </row>
    <row r="199" spans="1:14" x14ac:dyDescent="0.3">
      <c r="A199" s="10" t="s">
        <v>477</v>
      </c>
      <c r="B199" s="11" t="s">
        <v>27</v>
      </c>
      <c r="C199" s="12">
        <v>45590</v>
      </c>
      <c r="D199" s="11" t="s">
        <v>74</v>
      </c>
      <c r="E199" s="11" t="s">
        <v>219</v>
      </c>
      <c r="F199" s="11">
        <v>4661</v>
      </c>
      <c r="G199" s="11">
        <v>935</v>
      </c>
      <c r="H199" s="11">
        <v>433</v>
      </c>
      <c r="I199" s="11">
        <v>23305</v>
      </c>
      <c r="J199" s="11">
        <v>22583</v>
      </c>
      <c r="K199" s="11">
        <v>63</v>
      </c>
      <c r="L199" s="11" t="s">
        <v>62</v>
      </c>
      <c r="M199" s="11" t="s">
        <v>31</v>
      </c>
      <c r="N199" s="15">
        <f t="shared" si="3"/>
        <v>0.25869984981763572</v>
      </c>
    </row>
    <row r="200" spans="1:14" x14ac:dyDescent="0.3">
      <c r="A200" s="7" t="s">
        <v>479</v>
      </c>
      <c r="B200" s="8" t="s">
        <v>43</v>
      </c>
      <c r="C200" s="9">
        <v>45669</v>
      </c>
      <c r="D200" s="8" t="s">
        <v>16</v>
      </c>
      <c r="E200" s="8" t="s">
        <v>65</v>
      </c>
      <c r="F200" s="8">
        <v>4134</v>
      </c>
      <c r="G200" s="8">
        <v>824</v>
      </c>
      <c r="H200" s="8">
        <v>99</v>
      </c>
      <c r="I200" s="8">
        <v>41340</v>
      </c>
      <c r="J200" s="8">
        <v>41050</v>
      </c>
      <c r="K200" s="8">
        <v>177</v>
      </c>
      <c r="L200" s="8" t="s">
        <v>37</v>
      </c>
      <c r="M200" s="8" t="s">
        <v>19</v>
      </c>
      <c r="N200" s="15">
        <f t="shared" si="3"/>
        <v>0.12232704402515723</v>
      </c>
    </row>
    <row r="201" spans="1:14" x14ac:dyDescent="0.3">
      <c r="A201" s="10" t="s">
        <v>481</v>
      </c>
      <c r="B201" s="11" t="s">
        <v>43</v>
      </c>
      <c r="C201" s="12">
        <v>45576</v>
      </c>
      <c r="D201" s="11" t="s">
        <v>52</v>
      </c>
      <c r="E201" s="11" t="s">
        <v>59</v>
      </c>
      <c r="F201" s="11">
        <v>400</v>
      </c>
      <c r="G201" s="11">
        <v>680</v>
      </c>
      <c r="H201" s="11">
        <v>434</v>
      </c>
      <c r="I201" s="11">
        <v>6400</v>
      </c>
      <c r="J201" s="11">
        <v>5472</v>
      </c>
      <c r="K201" s="11">
        <v>160</v>
      </c>
      <c r="L201" s="11" t="s">
        <v>62</v>
      </c>
      <c r="M201" s="11" t="s">
        <v>25</v>
      </c>
      <c r="N201" s="15">
        <f t="shared" si="3"/>
        <v>0.23656250000000001</v>
      </c>
    </row>
    <row r="202" spans="1:14" x14ac:dyDescent="0.3">
      <c r="A202" s="7" t="s">
        <v>487</v>
      </c>
      <c r="B202" s="8" t="s">
        <v>14</v>
      </c>
      <c r="C202" s="9">
        <v>45491</v>
      </c>
      <c r="D202" s="8" t="s">
        <v>52</v>
      </c>
      <c r="E202" s="8" t="s">
        <v>132</v>
      </c>
      <c r="F202" s="8">
        <v>827</v>
      </c>
      <c r="G202" s="8">
        <v>77</v>
      </c>
      <c r="H202" s="8">
        <v>402</v>
      </c>
      <c r="I202" s="8">
        <v>14886</v>
      </c>
      <c r="J202" s="8">
        <v>14129</v>
      </c>
      <c r="K202" s="8">
        <v>254</v>
      </c>
      <c r="L202" s="8" t="s">
        <v>37</v>
      </c>
      <c r="M202" s="8" t="s">
        <v>25</v>
      </c>
      <c r="N202" s="15">
        <f t="shared" si="3"/>
        <v>8.7733440816874911E-2</v>
      </c>
    </row>
    <row r="203" spans="1:14" x14ac:dyDescent="0.3">
      <c r="A203" s="10" t="s">
        <v>491</v>
      </c>
      <c r="B203" s="11" t="s">
        <v>43</v>
      </c>
      <c r="C203" s="12">
        <v>45775</v>
      </c>
      <c r="D203" s="11" t="s">
        <v>45</v>
      </c>
      <c r="E203" s="11" t="s">
        <v>46</v>
      </c>
      <c r="F203" s="11">
        <v>2089</v>
      </c>
      <c r="G203" s="11">
        <v>476</v>
      </c>
      <c r="H203" s="11">
        <v>69</v>
      </c>
      <c r="I203" s="11">
        <v>16712</v>
      </c>
      <c r="J203" s="11">
        <v>16309</v>
      </c>
      <c r="K203" s="11">
        <v>64</v>
      </c>
      <c r="L203" s="11" t="s">
        <v>62</v>
      </c>
      <c r="M203" s="11" t="s">
        <v>31</v>
      </c>
      <c r="N203" s="15">
        <f t="shared" si="3"/>
        <v>0.15761129727142173</v>
      </c>
    </row>
    <row r="204" spans="1:14" x14ac:dyDescent="0.3">
      <c r="A204" s="7" t="s">
        <v>494</v>
      </c>
      <c r="B204" s="8" t="s">
        <v>14</v>
      </c>
      <c r="C204" s="9">
        <v>45671</v>
      </c>
      <c r="D204" s="8" t="s">
        <v>52</v>
      </c>
      <c r="E204" s="8" t="s">
        <v>132</v>
      </c>
      <c r="F204" s="8">
        <v>2692</v>
      </c>
      <c r="G204" s="8">
        <v>115</v>
      </c>
      <c r="H204" s="8">
        <v>64</v>
      </c>
      <c r="I204" s="8">
        <v>21536</v>
      </c>
      <c r="J204" s="8">
        <v>21120</v>
      </c>
      <c r="K204" s="8">
        <v>224</v>
      </c>
      <c r="L204" s="8" t="s">
        <v>62</v>
      </c>
      <c r="M204" s="8" t="s">
        <v>25</v>
      </c>
      <c r="N204" s="15">
        <f t="shared" si="3"/>
        <v>0.13331166419019316</v>
      </c>
    </row>
    <row r="205" spans="1:14" x14ac:dyDescent="0.3">
      <c r="A205" s="10" t="s">
        <v>496</v>
      </c>
      <c r="B205" s="11" t="s">
        <v>43</v>
      </c>
      <c r="C205" s="12">
        <v>45750</v>
      </c>
      <c r="D205" s="11" t="s">
        <v>35</v>
      </c>
      <c r="E205" s="11" t="s">
        <v>71</v>
      </c>
      <c r="F205" s="11">
        <v>3767</v>
      </c>
      <c r="G205" s="11">
        <v>514</v>
      </c>
      <c r="H205" s="11">
        <v>238</v>
      </c>
      <c r="I205" s="11">
        <v>37670</v>
      </c>
      <c r="J205" s="11">
        <v>36807</v>
      </c>
      <c r="K205" s="11">
        <v>226</v>
      </c>
      <c r="L205" s="11" t="s">
        <v>62</v>
      </c>
      <c r="M205" s="11" t="s">
        <v>38</v>
      </c>
      <c r="N205" s="15">
        <f t="shared" si="3"/>
        <v>0.11996283514733209</v>
      </c>
    </row>
    <row r="206" spans="1:14" x14ac:dyDescent="0.3">
      <c r="A206" s="7" t="s">
        <v>497</v>
      </c>
      <c r="B206" s="8" t="s">
        <v>27</v>
      </c>
      <c r="C206" s="9">
        <v>45553</v>
      </c>
      <c r="D206" s="8" t="s">
        <v>45</v>
      </c>
      <c r="E206" s="8" t="s">
        <v>68</v>
      </c>
      <c r="F206" s="8">
        <v>2143</v>
      </c>
      <c r="G206" s="8">
        <v>12</v>
      </c>
      <c r="H206" s="8">
        <v>204</v>
      </c>
      <c r="I206" s="8">
        <v>40717</v>
      </c>
      <c r="J206" s="8">
        <v>40125</v>
      </c>
      <c r="K206" s="8">
        <v>248</v>
      </c>
      <c r="L206" s="8" t="s">
        <v>37</v>
      </c>
      <c r="M206" s="8" t="s">
        <v>25</v>
      </c>
      <c r="N206" s="15">
        <f t="shared" si="3"/>
        <v>5.7936488444630008E-2</v>
      </c>
    </row>
    <row r="207" spans="1:14" x14ac:dyDescent="0.3">
      <c r="A207" s="10" t="s">
        <v>498</v>
      </c>
      <c r="B207" s="11" t="s">
        <v>43</v>
      </c>
      <c r="C207" s="12">
        <v>45753</v>
      </c>
      <c r="D207" s="11" t="s">
        <v>52</v>
      </c>
      <c r="E207" s="11" t="s">
        <v>59</v>
      </c>
      <c r="F207" s="11">
        <v>3090</v>
      </c>
      <c r="G207" s="11">
        <v>697</v>
      </c>
      <c r="H207" s="11">
        <v>164</v>
      </c>
      <c r="I207" s="11">
        <v>49440</v>
      </c>
      <c r="J207" s="11">
        <v>48524</v>
      </c>
      <c r="K207" s="11">
        <v>25</v>
      </c>
      <c r="L207" s="11" t="s">
        <v>37</v>
      </c>
      <c r="M207" s="11" t="s">
        <v>25</v>
      </c>
      <c r="N207" s="15">
        <f t="shared" si="3"/>
        <v>7.9915048543689318E-2</v>
      </c>
    </row>
    <row r="208" spans="1:14" x14ac:dyDescent="0.3">
      <c r="A208" s="7" t="s">
        <v>500</v>
      </c>
      <c r="B208" s="8" t="s">
        <v>33</v>
      </c>
      <c r="C208" s="9">
        <v>45509</v>
      </c>
      <c r="D208" s="8" t="s">
        <v>35</v>
      </c>
      <c r="E208" s="8" t="s">
        <v>36</v>
      </c>
      <c r="F208" s="8">
        <v>3601</v>
      </c>
      <c r="G208" s="8">
        <v>695</v>
      </c>
      <c r="H208" s="8">
        <v>75</v>
      </c>
      <c r="I208" s="8">
        <v>21606</v>
      </c>
      <c r="J208" s="8">
        <v>21454</v>
      </c>
      <c r="K208" s="8">
        <v>172</v>
      </c>
      <c r="L208" s="8" t="s">
        <v>37</v>
      </c>
      <c r="M208" s="8" t="s">
        <v>25</v>
      </c>
      <c r="N208" s="15">
        <f t="shared" si="3"/>
        <v>0.2023049153013052</v>
      </c>
    </row>
    <row r="209" spans="1:14" x14ac:dyDescent="0.3">
      <c r="A209" s="10" t="s">
        <v>502</v>
      </c>
      <c r="B209" s="11" t="s">
        <v>43</v>
      </c>
      <c r="C209" s="12">
        <v>45698</v>
      </c>
      <c r="D209" s="11" t="s">
        <v>22</v>
      </c>
      <c r="E209" s="11" t="s">
        <v>56</v>
      </c>
      <c r="F209" s="11">
        <v>562</v>
      </c>
      <c r="G209" s="11">
        <v>158</v>
      </c>
      <c r="H209" s="11">
        <v>149</v>
      </c>
      <c r="I209" s="11">
        <v>3372</v>
      </c>
      <c r="J209" s="11">
        <v>2940</v>
      </c>
      <c r="K209" s="11">
        <v>93</v>
      </c>
      <c r="L209" s="11" t="s">
        <v>30</v>
      </c>
      <c r="M209" s="11" t="s">
        <v>19</v>
      </c>
      <c r="N209" s="15">
        <f t="shared" si="3"/>
        <v>0.25771055753262156</v>
      </c>
    </row>
    <row r="210" spans="1:14" x14ac:dyDescent="0.3">
      <c r="A210" s="7" t="s">
        <v>503</v>
      </c>
      <c r="B210" s="8" t="s">
        <v>33</v>
      </c>
      <c r="C210" s="9">
        <v>45700</v>
      </c>
      <c r="D210" s="8" t="s">
        <v>35</v>
      </c>
      <c r="E210" s="8" t="s">
        <v>36</v>
      </c>
      <c r="F210" s="8">
        <v>4332</v>
      </c>
      <c r="G210" s="8">
        <v>771</v>
      </c>
      <c r="H210" s="8">
        <v>219</v>
      </c>
      <c r="I210" s="8">
        <v>60648</v>
      </c>
      <c r="J210" s="8">
        <v>60397</v>
      </c>
      <c r="K210" s="8">
        <v>10</v>
      </c>
      <c r="L210" s="8" t="s">
        <v>30</v>
      </c>
      <c r="M210" s="8" t="s">
        <v>31</v>
      </c>
      <c r="N210" s="15">
        <f t="shared" si="3"/>
        <v>8.7752275425405618E-2</v>
      </c>
    </row>
    <row r="211" spans="1:14" x14ac:dyDescent="0.3">
      <c r="A211" s="10" t="s">
        <v>506</v>
      </c>
      <c r="B211" s="11" t="s">
        <v>33</v>
      </c>
      <c r="C211" s="12">
        <v>45592</v>
      </c>
      <c r="D211" s="11" t="s">
        <v>52</v>
      </c>
      <c r="E211" s="11" t="s">
        <v>215</v>
      </c>
      <c r="F211" s="11">
        <v>4853</v>
      </c>
      <c r="G211" s="11">
        <v>837</v>
      </c>
      <c r="H211" s="11">
        <v>340</v>
      </c>
      <c r="I211" s="11">
        <v>72795</v>
      </c>
      <c r="J211" s="11">
        <v>72237</v>
      </c>
      <c r="K211" s="11">
        <v>170</v>
      </c>
      <c r="L211" s="11" t="s">
        <v>37</v>
      </c>
      <c r="M211" s="11" t="s">
        <v>19</v>
      </c>
      <c r="N211" s="15">
        <f t="shared" si="3"/>
        <v>8.2835359571399134E-2</v>
      </c>
    </row>
    <row r="212" spans="1:14" x14ac:dyDescent="0.3">
      <c r="A212" s="7" t="s">
        <v>509</v>
      </c>
      <c r="B212" s="8" t="s">
        <v>33</v>
      </c>
      <c r="C212" s="9">
        <v>45524</v>
      </c>
      <c r="D212" s="8" t="s">
        <v>16</v>
      </c>
      <c r="E212" s="8" t="s">
        <v>82</v>
      </c>
      <c r="F212" s="8">
        <v>2603</v>
      </c>
      <c r="G212" s="8">
        <v>690</v>
      </c>
      <c r="H212" s="8">
        <v>205</v>
      </c>
      <c r="I212" s="8">
        <v>13015</v>
      </c>
      <c r="J212" s="8">
        <v>12130</v>
      </c>
      <c r="K212" s="8">
        <v>20</v>
      </c>
      <c r="L212" s="8" t="s">
        <v>62</v>
      </c>
      <c r="M212" s="8" t="s">
        <v>25</v>
      </c>
      <c r="N212" s="15">
        <f t="shared" si="3"/>
        <v>0.26876680752977333</v>
      </c>
    </row>
    <row r="213" spans="1:14" x14ac:dyDescent="0.3">
      <c r="A213" s="10" t="s">
        <v>511</v>
      </c>
      <c r="B213" s="11" t="s">
        <v>14</v>
      </c>
      <c r="C213" s="12">
        <v>45687</v>
      </c>
      <c r="D213" s="11" t="s">
        <v>52</v>
      </c>
      <c r="E213" s="11" t="s">
        <v>132</v>
      </c>
      <c r="F213" s="11">
        <v>59</v>
      </c>
      <c r="G213" s="11">
        <v>163</v>
      </c>
      <c r="H213" s="11">
        <v>93</v>
      </c>
      <c r="I213" s="11">
        <v>590</v>
      </c>
      <c r="J213" s="11">
        <v>475</v>
      </c>
      <c r="K213" s="11">
        <v>293</v>
      </c>
      <c r="L213" s="11" t="s">
        <v>30</v>
      </c>
      <c r="M213" s="11" t="s">
        <v>25</v>
      </c>
      <c r="N213" s="15">
        <f t="shared" si="3"/>
        <v>0.53389830508474578</v>
      </c>
    </row>
    <row r="214" spans="1:14" x14ac:dyDescent="0.3">
      <c r="A214" s="7" t="s">
        <v>513</v>
      </c>
      <c r="B214" s="8" t="s">
        <v>14</v>
      </c>
      <c r="C214" s="9">
        <v>45708</v>
      </c>
      <c r="D214" s="8" t="s">
        <v>45</v>
      </c>
      <c r="E214" s="8" t="s">
        <v>49</v>
      </c>
      <c r="F214" s="8">
        <v>1877</v>
      </c>
      <c r="G214" s="8">
        <v>745</v>
      </c>
      <c r="H214" s="8">
        <v>225</v>
      </c>
      <c r="I214" s="8">
        <v>11262</v>
      </c>
      <c r="J214" s="8">
        <v>10967</v>
      </c>
      <c r="K214" s="8">
        <v>41</v>
      </c>
      <c r="L214" s="8" t="s">
        <v>37</v>
      </c>
      <c r="M214" s="8" t="s">
        <v>38</v>
      </c>
      <c r="N214" s="15">
        <f t="shared" si="3"/>
        <v>0.25279701651571657</v>
      </c>
    </row>
    <row r="215" spans="1:14" x14ac:dyDescent="0.3">
      <c r="A215" s="10" t="s">
        <v>515</v>
      </c>
      <c r="B215" s="11" t="s">
        <v>43</v>
      </c>
      <c r="C215" s="12">
        <v>45621</v>
      </c>
      <c r="D215" s="11" t="s">
        <v>35</v>
      </c>
      <c r="E215" s="11" t="s">
        <v>71</v>
      </c>
      <c r="F215" s="11">
        <v>4182</v>
      </c>
      <c r="G215" s="11">
        <v>640</v>
      </c>
      <c r="H215" s="11">
        <v>240</v>
      </c>
      <c r="I215" s="11">
        <v>50184</v>
      </c>
      <c r="J215" s="11">
        <v>49351</v>
      </c>
      <c r="K215" s="11">
        <v>10</v>
      </c>
      <c r="L215" s="11" t="s">
        <v>30</v>
      </c>
      <c r="M215" s="11" t="s">
        <v>31</v>
      </c>
      <c r="N215" s="15">
        <f t="shared" si="3"/>
        <v>0.10086880280567512</v>
      </c>
    </row>
    <row r="216" spans="1:14" x14ac:dyDescent="0.3">
      <c r="A216" s="7" t="s">
        <v>517</v>
      </c>
      <c r="B216" s="8" t="s">
        <v>33</v>
      </c>
      <c r="C216" s="9">
        <v>45760</v>
      </c>
      <c r="D216" s="8" t="s">
        <v>16</v>
      </c>
      <c r="E216" s="8" t="s">
        <v>82</v>
      </c>
      <c r="F216" s="8">
        <v>4579</v>
      </c>
      <c r="G216" s="8">
        <v>125</v>
      </c>
      <c r="H216" s="8">
        <v>300</v>
      </c>
      <c r="I216" s="8">
        <v>59527</v>
      </c>
      <c r="J216" s="8">
        <v>59400</v>
      </c>
      <c r="K216" s="8">
        <v>269</v>
      </c>
      <c r="L216" s="8" t="s">
        <v>37</v>
      </c>
      <c r="M216" s="8" t="s">
        <v>19</v>
      </c>
      <c r="N216" s="15">
        <f t="shared" si="3"/>
        <v>8.4062694239588759E-2</v>
      </c>
    </row>
    <row r="217" spans="1:14" x14ac:dyDescent="0.3">
      <c r="A217" s="10" t="s">
        <v>519</v>
      </c>
      <c r="B217" s="11" t="s">
        <v>33</v>
      </c>
      <c r="C217" s="12">
        <v>45601</v>
      </c>
      <c r="D217" s="11" t="s">
        <v>74</v>
      </c>
      <c r="E217" s="11" t="s">
        <v>85</v>
      </c>
      <c r="F217" s="11">
        <v>4561</v>
      </c>
      <c r="G217" s="11">
        <v>51</v>
      </c>
      <c r="H217" s="11">
        <v>441</v>
      </c>
      <c r="I217" s="11">
        <v>22805</v>
      </c>
      <c r="J217" s="11">
        <v>21890</v>
      </c>
      <c r="K217" s="11">
        <v>45</v>
      </c>
      <c r="L217" s="11" t="s">
        <v>30</v>
      </c>
      <c r="M217" s="11" t="s">
        <v>25</v>
      </c>
      <c r="N217" s="15">
        <f t="shared" si="3"/>
        <v>0.22157421618066214</v>
      </c>
    </row>
    <row r="218" spans="1:14" x14ac:dyDescent="0.3">
      <c r="A218" s="7" t="s">
        <v>521</v>
      </c>
      <c r="B218" s="8" t="s">
        <v>27</v>
      </c>
      <c r="C218" s="9">
        <v>45672</v>
      </c>
      <c r="D218" s="8" t="s">
        <v>16</v>
      </c>
      <c r="E218" s="8" t="s">
        <v>29</v>
      </c>
      <c r="F218" s="8">
        <v>3774</v>
      </c>
      <c r="G218" s="8">
        <v>239</v>
      </c>
      <c r="H218" s="8">
        <v>39</v>
      </c>
      <c r="I218" s="8">
        <v>60384</v>
      </c>
      <c r="J218" s="8">
        <v>59490</v>
      </c>
      <c r="K218" s="8">
        <v>241</v>
      </c>
      <c r="L218" s="8" t="s">
        <v>30</v>
      </c>
      <c r="M218" s="8" t="s">
        <v>31</v>
      </c>
      <c r="N218" s="15">
        <f t="shared" si="3"/>
        <v>6.7103868574456813E-2</v>
      </c>
    </row>
    <row r="219" spans="1:14" x14ac:dyDescent="0.3">
      <c r="A219" s="10" t="s">
        <v>522</v>
      </c>
      <c r="B219" s="11" t="s">
        <v>33</v>
      </c>
      <c r="C219" s="12">
        <v>45582</v>
      </c>
      <c r="D219" s="11" t="s">
        <v>74</v>
      </c>
      <c r="E219" s="11" t="s">
        <v>85</v>
      </c>
      <c r="F219" s="11">
        <v>3575</v>
      </c>
      <c r="G219" s="11">
        <v>749</v>
      </c>
      <c r="H219" s="11">
        <v>111</v>
      </c>
      <c r="I219" s="11">
        <v>21450</v>
      </c>
      <c r="J219" s="11">
        <v>20785</v>
      </c>
      <c r="K219" s="11">
        <v>195</v>
      </c>
      <c r="L219" s="11" t="s">
        <v>37</v>
      </c>
      <c r="M219" s="11" t="s">
        <v>25</v>
      </c>
      <c r="N219" s="15">
        <f t="shared" si="3"/>
        <v>0.20675990675990677</v>
      </c>
    </row>
    <row r="220" spans="1:14" x14ac:dyDescent="0.3">
      <c r="A220" s="7" t="s">
        <v>524</v>
      </c>
      <c r="B220" s="8" t="s">
        <v>33</v>
      </c>
      <c r="C220" s="9">
        <v>45743</v>
      </c>
      <c r="D220" s="8" t="s">
        <v>22</v>
      </c>
      <c r="E220" s="8" t="s">
        <v>113</v>
      </c>
      <c r="F220" s="8">
        <v>4941</v>
      </c>
      <c r="G220" s="8">
        <v>414</v>
      </c>
      <c r="H220" s="8">
        <v>266</v>
      </c>
      <c r="I220" s="8">
        <v>39528</v>
      </c>
      <c r="J220" s="8">
        <v>39154</v>
      </c>
      <c r="K220" s="8">
        <v>217</v>
      </c>
      <c r="L220" s="8" t="s">
        <v>30</v>
      </c>
      <c r="M220" s="8" t="s">
        <v>31</v>
      </c>
      <c r="N220" s="15">
        <f t="shared" si="3"/>
        <v>0.14220299534507186</v>
      </c>
    </row>
    <row r="221" spans="1:14" x14ac:dyDescent="0.3">
      <c r="A221" s="10" t="s">
        <v>525</v>
      </c>
      <c r="B221" s="11" t="s">
        <v>27</v>
      </c>
      <c r="C221" s="12">
        <v>45577</v>
      </c>
      <c r="D221" s="11" t="s">
        <v>35</v>
      </c>
      <c r="E221" s="11" t="s">
        <v>154</v>
      </c>
      <c r="F221" s="11">
        <v>3641</v>
      </c>
      <c r="G221" s="11">
        <v>226</v>
      </c>
      <c r="H221" s="11">
        <v>46</v>
      </c>
      <c r="I221" s="11">
        <v>40051</v>
      </c>
      <c r="J221" s="11">
        <v>39319</v>
      </c>
      <c r="K221" s="11">
        <v>296</v>
      </c>
      <c r="L221" s="11" t="s">
        <v>37</v>
      </c>
      <c r="M221" s="11" t="s">
        <v>38</v>
      </c>
      <c r="N221" s="15">
        <f t="shared" si="3"/>
        <v>9.7700431949264685E-2</v>
      </c>
    </row>
    <row r="222" spans="1:14" x14ac:dyDescent="0.3">
      <c r="A222" s="7" t="s">
        <v>527</v>
      </c>
      <c r="B222" s="8" t="s">
        <v>14</v>
      </c>
      <c r="C222" s="9">
        <v>45658</v>
      </c>
      <c r="D222" s="8" t="s">
        <v>45</v>
      </c>
      <c r="E222" s="8" t="s">
        <v>49</v>
      </c>
      <c r="F222" s="8">
        <v>3535</v>
      </c>
      <c r="G222" s="8">
        <v>494</v>
      </c>
      <c r="H222" s="8">
        <v>152</v>
      </c>
      <c r="I222" s="8">
        <v>53025</v>
      </c>
      <c r="J222" s="8">
        <v>52791</v>
      </c>
      <c r="K222" s="8">
        <v>44</v>
      </c>
      <c r="L222" s="8" t="s">
        <v>30</v>
      </c>
      <c r="M222" s="8" t="s">
        <v>38</v>
      </c>
      <c r="N222" s="15">
        <f t="shared" si="3"/>
        <v>7.8849599245638849E-2</v>
      </c>
    </row>
    <row r="223" spans="1:14" x14ac:dyDescent="0.3">
      <c r="A223" s="10" t="s">
        <v>528</v>
      </c>
      <c r="B223" s="11" t="s">
        <v>43</v>
      </c>
      <c r="C223" s="12">
        <v>45509</v>
      </c>
      <c r="D223" s="11" t="s">
        <v>16</v>
      </c>
      <c r="E223" s="11" t="s">
        <v>65</v>
      </c>
      <c r="F223" s="11">
        <v>1741</v>
      </c>
      <c r="G223" s="11">
        <v>831</v>
      </c>
      <c r="H223" s="11">
        <v>345</v>
      </c>
      <c r="I223" s="11">
        <v>17410</v>
      </c>
      <c r="J223" s="11">
        <v>16844</v>
      </c>
      <c r="K223" s="11">
        <v>58</v>
      </c>
      <c r="L223" s="11" t="s">
        <v>37</v>
      </c>
      <c r="M223" s="11" t="s">
        <v>31</v>
      </c>
      <c r="N223" s="15">
        <f t="shared" si="3"/>
        <v>0.16754738655944859</v>
      </c>
    </row>
    <row r="224" spans="1:14" x14ac:dyDescent="0.3">
      <c r="A224" s="7" t="s">
        <v>529</v>
      </c>
      <c r="B224" s="8" t="s">
        <v>14</v>
      </c>
      <c r="C224" s="9">
        <v>45450</v>
      </c>
      <c r="D224" s="8" t="s">
        <v>45</v>
      </c>
      <c r="E224" s="8" t="s">
        <v>49</v>
      </c>
      <c r="F224" s="8">
        <v>1556</v>
      </c>
      <c r="G224" s="8">
        <v>195</v>
      </c>
      <c r="H224" s="8">
        <v>131</v>
      </c>
      <c r="I224" s="8">
        <v>9336</v>
      </c>
      <c r="J224" s="8">
        <v>8875</v>
      </c>
      <c r="K224" s="8">
        <v>137</v>
      </c>
      <c r="L224" s="8" t="s">
        <v>30</v>
      </c>
      <c r="M224" s="8" t="s">
        <v>25</v>
      </c>
      <c r="N224" s="15">
        <f t="shared" si="3"/>
        <v>0.2015852613538989</v>
      </c>
    </row>
    <row r="225" spans="1:14" x14ac:dyDescent="0.3">
      <c r="A225" s="10" t="s">
        <v>531</v>
      </c>
      <c r="B225" s="11" t="s">
        <v>43</v>
      </c>
      <c r="C225" s="12">
        <v>45753</v>
      </c>
      <c r="D225" s="11" t="s">
        <v>52</v>
      </c>
      <c r="E225" s="11" t="s">
        <v>59</v>
      </c>
      <c r="F225" s="11">
        <v>4236</v>
      </c>
      <c r="G225" s="11">
        <v>711</v>
      </c>
      <c r="H225" s="11">
        <v>298</v>
      </c>
      <c r="I225" s="11">
        <v>21180</v>
      </c>
      <c r="J225" s="11">
        <v>20516</v>
      </c>
      <c r="K225" s="11">
        <v>238</v>
      </c>
      <c r="L225" s="11" t="s">
        <v>62</v>
      </c>
      <c r="M225" s="11" t="s">
        <v>19</v>
      </c>
      <c r="N225" s="15">
        <f t="shared" si="3"/>
        <v>0.24763928234183191</v>
      </c>
    </row>
    <row r="226" spans="1:14" x14ac:dyDescent="0.3">
      <c r="A226" s="7" t="s">
        <v>532</v>
      </c>
      <c r="B226" s="8" t="s">
        <v>14</v>
      </c>
      <c r="C226" s="9">
        <v>45622</v>
      </c>
      <c r="D226" s="8" t="s">
        <v>22</v>
      </c>
      <c r="E226" s="8" t="s">
        <v>23</v>
      </c>
      <c r="F226" s="8">
        <v>4516</v>
      </c>
      <c r="G226" s="8">
        <v>836</v>
      </c>
      <c r="H226" s="8">
        <v>169</v>
      </c>
      <c r="I226" s="8">
        <v>49676</v>
      </c>
      <c r="J226" s="8">
        <v>49257</v>
      </c>
      <c r="K226" s="8">
        <v>282</v>
      </c>
      <c r="L226" s="8" t="s">
        <v>37</v>
      </c>
      <c r="M226" s="8" t="s">
        <v>38</v>
      </c>
      <c r="N226" s="15">
        <f t="shared" si="3"/>
        <v>0.11114018842096787</v>
      </c>
    </row>
    <row r="227" spans="1:14" x14ac:dyDescent="0.3">
      <c r="A227" s="10" t="s">
        <v>534</v>
      </c>
      <c r="B227" s="11" t="s">
        <v>27</v>
      </c>
      <c r="C227" s="12">
        <v>45537</v>
      </c>
      <c r="D227" s="11" t="s">
        <v>52</v>
      </c>
      <c r="E227" s="11" t="s">
        <v>53</v>
      </c>
      <c r="F227" s="11">
        <v>4905</v>
      </c>
      <c r="G227" s="11">
        <v>845</v>
      </c>
      <c r="H227" s="11">
        <v>129</v>
      </c>
      <c r="I227" s="11">
        <v>98100</v>
      </c>
      <c r="J227" s="11">
        <v>97772</v>
      </c>
      <c r="K227" s="11">
        <v>279</v>
      </c>
      <c r="L227" s="11" t="s">
        <v>30</v>
      </c>
      <c r="M227" s="11" t="s">
        <v>25</v>
      </c>
      <c r="N227" s="15">
        <f t="shared" si="3"/>
        <v>5.9928644240570844E-2</v>
      </c>
    </row>
    <row r="228" spans="1:14" x14ac:dyDescent="0.3">
      <c r="A228" s="7" t="s">
        <v>535</v>
      </c>
      <c r="B228" s="8" t="s">
        <v>27</v>
      </c>
      <c r="C228" s="9">
        <v>45586</v>
      </c>
      <c r="D228" s="8" t="s">
        <v>74</v>
      </c>
      <c r="E228" s="8" t="s">
        <v>219</v>
      </c>
      <c r="F228" s="8">
        <v>4275</v>
      </c>
      <c r="G228" s="8">
        <v>680</v>
      </c>
      <c r="H228" s="8">
        <v>385</v>
      </c>
      <c r="I228" s="8">
        <v>64125</v>
      </c>
      <c r="J228" s="8">
        <v>63650</v>
      </c>
      <c r="K228" s="8">
        <v>104</v>
      </c>
      <c r="L228" s="8" t="s">
        <v>37</v>
      </c>
      <c r="M228" s="8" t="s">
        <v>38</v>
      </c>
      <c r="N228" s="15">
        <f t="shared" si="3"/>
        <v>8.3274853801169585E-2</v>
      </c>
    </row>
    <row r="229" spans="1:14" x14ac:dyDescent="0.3">
      <c r="A229" s="10" t="s">
        <v>536</v>
      </c>
      <c r="B229" s="11" t="s">
        <v>27</v>
      </c>
      <c r="C229" s="12">
        <v>45738</v>
      </c>
      <c r="D229" s="11" t="s">
        <v>52</v>
      </c>
      <c r="E229" s="11" t="s">
        <v>53</v>
      </c>
      <c r="F229" s="11">
        <v>3166</v>
      </c>
      <c r="G229" s="11">
        <v>90</v>
      </c>
      <c r="H229" s="11">
        <v>341</v>
      </c>
      <c r="I229" s="11">
        <v>56988</v>
      </c>
      <c r="J229" s="11">
        <v>56125</v>
      </c>
      <c r="K229" s="11">
        <v>135</v>
      </c>
      <c r="L229" s="11" t="s">
        <v>37</v>
      </c>
      <c r="M229" s="11" t="s">
        <v>25</v>
      </c>
      <c r="N229" s="15">
        <f t="shared" si="3"/>
        <v>6.3118551273952411E-2</v>
      </c>
    </row>
    <row r="230" spans="1:14" x14ac:dyDescent="0.3">
      <c r="A230" s="7" t="s">
        <v>538</v>
      </c>
      <c r="B230" s="8" t="s">
        <v>33</v>
      </c>
      <c r="C230" s="9">
        <v>45568</v>
      </c>
      <c r="D230" s="8" t="s">
        <v>74</v>
      </c>
      <c r="E230" s="8" t="s">
        <v>85</v>
      </c>
      <c r="F230" s="8">
        <v>1488</v>
      </c>
      <c r="G230" s="8">
        <v>417</v>
      </c>
      <c r="H230" s="8">
        <v>168</v>
      </c>
      <c r="I230" s="8">
        <v>19344</v>
      </c>
      <c r="J230" s="8">
        <v>18395</v>
      </c>
      <c r="K230" s="8">
        <v>30</v>
      </c>
      <c r="L230" s="8" t="s">
        <v>62</v>
      </c>
      <c r="M230" s="8" t="s">
        <v>31</v>
      </c>
      <c r="N230" s="15">
        <f t="shared" si="3"/>
        <v>0.1071650124069479</v>
      </c>
    </row>
    <row r="231" spans="1:14" x14ac:dyDescent="0.3">
      <c r="A231" s="10" t="s">
        <v>540</v>
      </c>
      <c r="B231" s="11" t="s">
        <v>14</v>
      </c>
      <c r="C231" s="12">
        <v>45786</v>
      </c>
      <c r="D231" s="11" t="s">
        <v>16</v>
      </c>
      <c r="E231" s="11" t="s">
        <v>17</v>
      </c>
      <c r="F231" s="11">
        <v>3367</v>
      </c>
      <c r="G231" s="11">
        <v>302</v>
      </c>
      <c r="H231" s="11">
        <v>57</v>
      </c>
      <c r="I231" s="11">
        <v>63973</v>
      </c>
      <c r="J231" s="11">
        <v>63789</v>
      </c>
      <c r="K231" s="11">
        <v>157</v>
      </c>
      <c r="L231" s="11" t="s">
        <v>62</v>
      </c>
      <c r="M231" s="11" t="s">
        <v>25</v>
      </c>
      <c r="N231" s="15">
        <f t="shared" si="3"/>
        <v>5.8243321401216137E-2</v>
      </c>
    </row>
    <row r="232" spans="1:14" x14ac:dyDescent="0.3">
      <c r="A232" s="7" t="s">
        <v>542</v>
      </c>
      <c r="B232" s="8" t="s">
        <v>14</v>
      </c>
      <c r="C232" s="9">
        <v>45552</v>
      </c>
      <c r="D232" s="8" t="s">
        <v>22</v>
      </c>
      <c r="E232" s="8" t="s">
        <v>23</v>
      </c>
      <c r="F232" s="8">
        <v>571</v>
      </c>
      <c r="G232" s="8">
        <v>190</v>
      </c>
      <c r="H232" s="8">
        <v>352</v>
      </c>
      <c r="I232" s="8">
        <v>9707</v>
      </c>
      <c r="J232" s="8">
        <v>9418</v>
      </c>
      <c r="K232" s="8">
        <v>231</v>
      </c>
      <c r="L232" s="8" t="s">
        <v>30</v>
      </c>
      <c r="M232" s="8" t="s">
        <v>38</v>
      </c>
      <c r="N232" s="15">
        <f t="shared" si="3"/>
        <v>0.11465952405480581</v>
      </c>
    </row>
    <row r="233" spans="1:14" x14ac:dyDescent="0.3">
      <c r="A233" s="10" t="s">
        <v>544</v>
      </c>
      <c r="B233" s="11" t="s">
        <v>27</v>
      </c>
      <c r="C233" s="12">
        <v>45560</v>
      </c>
      <c r="D233" s="11" t="s">
        <v>74</v>
      </c>
      <c r="E233" s="11" t="s">
        <v>219</v>
      </c>
      <c r="F233" s="11">
        <v>3389</v>
      </c>
      <c r="G233" s="11">
        <v>344</v>
      </c>
      <c r="H233" s="11">
        <v>229</v>
      </c>
      <c r="I233" s="11">
        <v>20334</v>
      </c>
      <c r="J233" s="11">
        <v>19443</v>
      </c>
      <c r="K233" s="11">
        <v>228</v>
      </c>
      <c r="L233" s="11" t="s">
        <v>62</v>
      </c>
      <c r="M233" s="11" t="s">
        <v>31</v>
      </c>
      <c r="N233" s="15">
        <f t="shared" si="3"/>
        <v>0.19484607062063539</v>
      </c>
    </row>
    <row r="234" spans="1:14" x14ac:dyDescent="0.3">
      <c r="A234" s="7" t="s">
        <v>546</v>
      </c>
      <c r="B234" s="8" t="s">
        <v>33</v>
      </c>
      <c r="C234" s="9">
        <v>45519</v>
      </c>
      <c r="D234" s="8" t="s">
        <v>16</v>
      </c>
      <c r="E234" s="8" t="s">
        <v>82</v>
      </c>
      <c r="F234" s="8">
        <v>1164</v>
      </c>
      <c r="G234" s="8">
        <v>616</v>
      </c>
      <c r="H234" s="8">
        <v>324</v>
      </c>
      <c r="I234" s="8">
        <v>6984</v>
      </c>
      <c r="J234" s="8">
        <v>6636</v>
      </c>
      <c r="K234" s="8">
        <v>82</v>
      </c>
      <c r="L234" s="8" t="s">
        <v>37</v>
      </c>
      <c r="M234" s="8" t="s">
        <v>19</v>
      </c>
      <c r="N234" s="15">
        <f t="shared" si="3"/>
        <v>0.30126002290950743</v>
      </c>
    </row>
    <row r="235" spans="1:14" x14ac:dyDescent="0.3">
      <c r="A235" s="10" t="s">
        <v>547</v>
      </c>
      <c r="B235" s="11" t="s">
        <v>27</v>
      </c>
      <c r="C235" s="12">
        <v>45764</v>
      </c>
      <c r="D235" s="11" t="s">
        <v>45</v>
      </c>
      <c r="E235" s="11" t="s">
        <v>68</v>
      </c>
      <c r="F235" s="11">
        <v>4780</v>
      </c>
      <c r="G235" s="11">
        <v>691</v>
      </c>
      <c r="H235" s="11">
        <v>380</v>
      </c>
      <c r="I235" s="11">
        <v>86040</v>
      </c>
      <c r="J235" s="11">
        <v>85743</v>
      </c>
      <c r="K235" s="11">
        <v>262</v>
      </c>
      <c r="L235" s="11" t="s">
        <v>62</v>
      </c>
      <c r="M235" s="11" t="s">
        <v>31</v>
      </c>
      <c r="N235" s="15">
        <f t="shared" si="3"/>
        <v>6.800325430032543E-2</v>
      </c>
    </row>
    <row r="236" spans="1:14" x14ac:dyDescent="0.3">
      <c r="A236" s="7" t="s">
        <v>550</v>
      </c>
      <c r="B236" s="8" t="s">
        <v>33</v>
      </c>
      <c r="C236" s="9">
        <v>45646</v>
      </c>
      <c r="D236" s="8" t="s">
        <v>45</v>
      </c>
      <c r="E236" s="8" t="s">
        <v>88</v>
      </c>
      <c r="F236" s="8">
        <v>2107</v>
      </c>
      <c r="G236" s="8">
        <v>550</v>
      </c>
      <c r="H236" s="8">
        <v>349</v>
      </c>
      <c r="I236" s="8">
        <v>35819</v>
      </c>
      <c r="J236" s="8">
        <v>35340</v>
      </c>
      <c r="K236" s="8">
        <v>191</v>
      </c>
      <c r="L236" s="8" t="s">
        <v>37</v>
      </c>
      <c r="M236" s="8" t="s">
        <v>38</v>
      </c>
      <c r="N236" s="15">
        <f t="shared" si="3"/>
        <v>8.3921940869371006E-2</v>
      </c>
    </row>
    <row r="237" spans="1:14" x14ac:dyDescent="0.3">
      <c r="A237" s="10" t="s">
        <v>552</v>
      </c>
      <c r="B237" s="11" t="s">
        <v>43</v>
      </c>
      <c r="C237" s="12">
        <v>45602</v>
      </c>
      <c r="D237" s="11" t="s">
        <v>74</v>
      </c>
      <c r="E237" s="11" t="s">
        <v>75</v>
      </c>
      <c r="F237" s="11">
        <v>4663</v>
      </c>
      <c r="G237" s="11">
        <v>145</v>
      </c>
      <c r="H237" s="11">
        <v>225</v>
      </c>
      <c r="I237" s="11">
        <v>69945</v>
      </c>
      <c r="J237" s="11">
        <v>69596</v>
      </c>
      <c r="K237" s="11">
        <v>35</v>
      </c>
      <c r="L237" s="11" t="s">
        <v>37</v>
      </c>
      <c r="M237" s="11" t="s">
        <v>38</v>
      </c>
      <c r="N237" s="15">
        <f t="shared" si="3"/>
        <v>7.1956537279290869E-2</v>
      </c>
    </row>
    <row r="238" spans="1:14" x14ac:dyDescent="0.3">
      <c r="A238" s="7" t="s">
        <v>555</v>
      </c>
      <c r="B238" s="8" t="s">
        <v>43</v>
      </c>
      <c r="C238" s="9">
        <v>45791</v>
      </c>
      <c r="D238" s="8" t="s">
        <v>22</v>
      </c>
      <c r="E238" s="8" t="s">
        <v>56</v>
      </c>
      <c r="F238" s="8">
        <v>2634</v>
      </c>
      <c r="G238" s="8">
        <v>726</v>
      </c>
      <c r="H238" s="8">
        <v>241</v>
      </c>
      <c r="I238" s="8">
        <v>28974</v>
      </c>
      <c r="J238" s="8">
        <v>28102</v>
      </c>
      <c r="K238" s="8">
        <v>277</v>
      </c>
      <c r="L238" s="8" t="s">
        <v>37</v>
      </c>
      <c r="M238" s="8" t="s">
        <v>19</v>
      </c>
      <c r="N238" s="15">
        <f t="shared" si="3"/>
        <v>0.12428384068475185</v>
      </c>
    </row>
    <row r="239" spans="1:14" x14ac:dyDescent="0.3">
      <c r="A239" s="10" t="s">
        <v>557</v>
      </c>
      <c r="B239" s="11" t="s">
        <v>43</v>
      </c>
      <c r="C239" s="12">
        <v>45462</v>
      </c>
      <c r="D239" s="11" t="s">
        <v>45</v>
      </c>
      <c r="E239" s="11" t="s">
        <v>46</v>
      </c>
      <c r="F239" s="11">
        <v>4731</v>
      </c>
      <c r="G239" s="11">
        <v>173</v>
      </c>
      <c r="H239" s="11">
        <v>276</v>
      </c>
      <c r="I239" s="11">
        <v>28386</v>
      </c>
      <c r="J239" s="11">
        <v>28185</v>
      </c>
      <c r="K239" s="11">
        <v>89</v>
      </c>
      <c r="L239" s="11" t="s">
        <v>37</v>
      </c>
      <c r="M239" s="11" t="s">
        <v>31</v>
      </c>
      <c r="N239" s="15">
        <f t="shared" si="3"/>
        <v>0.18248432325794406</v>
      </c>
    </row>
    <row r="240" spans="1:14" x14ac:dyDescent="0.3">
      <c r="A240" s="7" t="s">
        <v>559</v>
      </c>
      <c r="B240" s="8" t="s">
        <v>14</v>
      </c>
      <c r="C240" s="9">
        <v>45783</v>
      </c>
      <c r="D240" s="8" t="s">
        <v>52</v>
      </c>
      <c r="E240" s="8" t="s">
        <v>132</v>
      </c>
      <c r="F240" s="8">
        <v>1952</v>
      </c>
      <c r="G240" s="8">
        <v>344</v>
      </c>
      <c r="H240" s="8">
        <v>287</v>
      </c>
      <c r="I240" s="8">
        <v>15616</v>
      </c>
      <c r="J240" s="8">
        <v>15403</v>
      </c>
      <c r="K240" s="8">
        <v>235</v>
      </c>
      <c r="L240" s="8" t="s">
        <v>62</v>
      </c>
      <c r="M240" s="8" t="s">
        <v>25</v>
      </c>
      <c r="N240" s="15">
        <f t="shared" si="3"/>
        <v>0.16540727459016394</v>
      </c>
    </row>
    <row r="241" spans="1:14" x14ac:dyDescent="0.3">
      <c r="A241" s="10" t="s">
        <v>560</v>
      </c>
      <c r="B241" s="11" t="s">
        <v>14</v>
      </c>
      <c r="C241" s="12">
        <v>45699</v>
      </c>
      <c r="D241" s="11" t="s">
        <v>74</v>
      </c>
      <c r="E241" s="11" t="s">
        <v>145</v>
      </c>
      <c r="F241" s="11">
        <v>3440</v>
      </c>
      <c r="G241" s="11">
        <v>13</v>
      </c>
      <c r="H241" s="11">
        <v>20</v>
      </c>
      <c r="I241" s="11">
        <v>58480</v>
      </c>
      <c r="J241" s="11">
        <v>58146</v>
      </c>
      <c r="K241" s="11">
        <v>210</v>
      </c>
      <c r="L241" s="11" t="s">
        <v>30</v>
      </c>
      <c r="M241" s="11" t="s">
        <v>38</v>
      </c>
      <c r="N241" s="15">
        <f t="shared" si="3"/>
        <v>5.9387824897400819E-2</v>
      </c>
    </row>
    <row r="242" spans="1:14" x14ac:dyDescent="0.3">
      <c r="A242" s="7" t="s">
        <v>562</v>
      </c>
      <c r="B242" s="8" t="s">
        <v>14</v>
      </c>
      <c r="C242" s="9">
        <v>45650</v>
      </c>
      <c r="D242" s="8" t="s">
        <v>22</v>
      </c>
      <c r="E242" s="8" t="s">
        <v>23</v>
      </c>
      <c r="F242" s="8">
        <v>2166</v>
      </c>
      <c r="G242" s="8">
        <v>354</v>
      </c>
      <c r="H242" s="8">
        <v>117</v>
      </c>
      <c r="I242" s="8">
        <v>10830</v>
      </c>
      <c r="J242" s="8">
        <v>10245</v>
      </c>
      <c r="K242" s="8">
        <v>24</v>
      </c>
      <c r="L242" s="8" t="s">
        <v>37</v>
      </c>
      <c r="M242" s="8" t="s">
        <v>38</v>
      </c>
      <c r="N242" s="15">
        <f t="shared" si="3"/>
        <v>0.24349030470914126</v>
      </c>
    </row>
    <row r="243" spans="1:14" x14ac:dyDescent="0.3">
      <c r="A243" s="10" t="s">
        <v>564</v>
      </c>
      <c r="B243" s="11" t="s">
        <v>43</v>
      </c>
      <c r="C243" s="12">
        <v>45589</v>
      </c>
      <c r="D243" s="11" t="s">
        <v>52</v>
      </c>
      <c r="E243" s="11" t="s">
        <v>59</v>
      </c>
      <c r="F243" s="11">
        <v>4303</v>
      </c>
      <c r="G243" s="11">
        <v>451</v>
      </c>
      <c r="H243" s="11">
        <v>286</v>
      </c>
      <c r="I243" s="11">
        <v>86060</v>
      </c>
      <c r="J243" s="11">
        <v>85823</v>
      </c>
      <c r="K243" s="11">
        <v>14</v>
      </c>
      <c r="L243" s="11" t="s">
        <v>30</v>
      </c>
      <c r="M243" s="11" t="s">
        <v>31</v>
      </c>
      <c r="N243" s="15">
        <f t="shared" si="3"/>
        <v>5.8563792702765516E-2</v>
      </c>
    </row>
    <row r="244" spans="1:14" x14ac:dyDescent="0.3">
      <c r="A244" s="7" t="s">
        <v>565</v>
      </c>
      <c r="B244" s="8" t="s">
        <v>43</v>
      </c>
      <c r="C244" s="9">
        <v>45530</v>
      </c>
      <c r="D244" s="8" t="s">
        <v>52</v>
      </c>
      <c r="E244" s="8" t="s">
        <v>59</v>
      </c>
      <c r="F244" s="8">
        <v>2581</v>
      </c>
      <c r="G244" s="8">
        <v>517</v>
      </c>
      <c r="H244" s="8">
        <v>117</v>
      </c>
      <c r="I244" s="8">
        <v>23229</v>
      </c>
      <c r="J244" s="8">
        <v>22331</v>
      </c>
      <c r="K244" s="8">
        <v>70</v>
      </c>
      <c r="L244" s="8" t="s">
        <v>62</v>
      </c>
      <c r="M244" s="8" t="s">
        <v>31</v>
      </c>
      <c r="N244" s="15">
        <f t="shared" si="3"/>
        <v>0.13840458048129492</v>
      </c>
    </row>
    <row r="245" spans="1:14" x14ac:dyDescent="0.3">
      <c r="A245" s="13" t="s">
        <v>566</v>
      </c>
      <c r="B245" s="3" t="s">
        <v>14</v>
      </c>
      <c r="C245" s="14">
        <v>45535</v>
      </c>
      <c r="D245" s="3" t="s">
        <v>45</v>
      </c>
      <c r="E245" s="3" t="s">
        <v>49</v>
      </c>
      <c r="F245" s="3">
        <v>4494</v>
      </c>
      <c r="G245" s="3">
        <v>717</v>
      </c>
      <c r="H245" s="3">
        <v>45</v>
      </c>
      <c r="I245" s="3">
        <v>62916</v>
      </c>
      <c r="J245" s="3">
        <v>62688</v>
      </c>
      <c r="K245" s="3">
        <v>191</v>
      </c>
      <c r="L245" s="3" t="s">
        <v>30</v>
      </c>
      <c r="M245" s="3" t="s">
        <v>19</v>
      </c>
      <c r="N245" s="15">
        <f t="shared" si="3"/>
        <v>8.3539958039290485E-2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0CD5-4AEB-4138-B82A-DF9D5B170B5D}">
  <dimension ref="A3:B13"/>
  <sheetViews>
    <sheetView workbookViewId="0">
      <selection activeCell="L17" sqref="L17"/>
    </sheetView>
  </sheetViews>
  <sheetFormatPr defaultRowHeight="14.4" x14ac:dyDescent="0.3"/>
  <cols>
    <col min="1" max="1" width="12.5546875" bestFit="1" customWidth="1"/>
    <col min="2" max="2" width="23.5546875" bestFit="1" customWidth="1"/>
  </cols>
  <sheetData>
    <row r="3" spans="1:2" x14ac:dyDescent="0.3">
      <c r="A3" s="16" t="s">
        <v>613</v>
      </c>
      <c r="B3" t="s">
        <v>615</v>
      </c>
    </row>
    <row r="4" spans="1:2" x14ac:dyDescent="0.3">
      <c r="A4" s="17" t="s">
        <v>169</v>
      </c>
      <c r="B4" s="18">
        <v>0.86601941747572819</v>
      </c>
    </row>
    <row r="5" spans="1:2" x14ac:dyDescent="0.3">
      <c r="A5" s="17" t="s">
        <v>459</v>
      </c>
      <c r="B5" s="18">
        <v>0.7168674698795181</v>
      </c>
    </row>
    <row r="6" spans="1:2" x14ac:dyDescent="0.3">
      <c r="A6" s="17" t="s">
        <v>378</v>
      </c>
      <c r="B6" s="18">
        <v>0.70387596899224802</v>
      </c>
    </row>
    <row r="7" spans="1:2" x14ac:dyDescent="0.3">
      <c r="A7" s="17" t="s">
        <v>372</v>
      </c>
      <c r="B7" s="18">
        <v>0.6508215962441315</v>
      </c>
    </row>
    <row r="8" spans="1:2" x14ac:dyDescent="0.3">
      <c r="A8" s="17" t="s">
        <v>178</v>
      </c>
      <c r="B8" s="18">
        <v>0.53773584905660377</v>
      </c>
    </row>
    <row r="9" spans="1:2" x14ac:dyDescent="0.3">
      <c r="A9" s="17" t="s">
        <v>511</v>
      </c>
      <c r="B9" s="18">
        <v>0.53389830508474578</v>
      </c>
    </row>
    <row r="10" spans="1:2" x14ac:dyDescent="0.3">
      <c r="A10" s="17" t="s">
        <v>320</v>
      </c>
      <c r="B10" s="18">
        <v>0.50192307692307692</v>
      </c>
    </row>
    <row r="11" spans="1:2" x14ac:dyDescent="0.3">
      <c r="A11" s="17" t="s">
        <v>428</v>
      </c>
      <c r="B11" s="18">
        <v>0.48518407662376534</v>
      </c>
    </row>
    <row r="12" spans="1:2" x14ac:dyDescent="0.3">
      <c r="A12" s="17" t="s">
        <v>434</v>
      </c>
      <c r="B12" s="18">
        <v>0.37955854126679461</v>
      </c>
    </row>
    <row r="13" spans="1:2" x14ac:dyDescent="0.3">
      <c r="A13" s="17" t="s">
        <v>251</v>
      </c>
      <c r="B13" s="18">
        <v>0.35666666666666669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4B71-2E21-4C90-9419-BD40D1D8AEF7}">
  <dimension ref="A3:D31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1.5546875" bestFit="1" customWidth="1"/>
    <col min="3" max="3" width="13.109375" bestFit="1" customWidth="1"/>
    <col min="4" max="4" width="16.6640625" bestFit="1" customWidth="1"/>
    <col min="5" max="5" width="7" bestFit="1" customWidth="1"/>
    <col min="6" max="7" width="6" bestFit="1" customWidth="1"/>
    <col min="8" max="8" width="13.109375" bestFit="1" customWidth="1"/>
    <col min="9" max="9" width="6.21875" bestFit="1" customWidth="1"/>
    <col min="10" max="13" width="6" bestFit="1" customWidth="1"/>
    <col min="14" max="14" width="16.6640625" bestFit="1" customWidth="1"/>
    <col min="15" max="15" width="6.21875" bestFit="1" customWidth="1"/>
    <col min="16" max="16" width="5" bestFit="1" customWidth="1"/>
    <col min="17" max="17" width="5.44140625" bestFit="1" customWidth="1"/>
    <col min="18" max="18" width="5" bestFit="1" customWidth="1"/>
    <col min="19" max="19" width="5.88671875" bestFit="1" customWidth="1"/>
    <col min="20" max="20" width="16.33203125" bestFit="1" customWidth="1"/>
    <col min="21" max="21" width="17.88671875" bestFit="1" customWidth="1"/>
    <col min="22" max="22" width="21.5546875" bestFit="1" customWidth="1"/>
    <col min="23" max="27" width="10.44140625" bestFit="1" customWidth="1"/>
    <col min="28" max="28" width="13.21875" bestFit="1" customWidth="1"/>
    <col min="29" max="34" width="13.109375" bestFit="1" customWidth="1"/>
    <col min="35" max="35" width="13.88671875" bestFit="1" customWidth="1"/>
    <col min="36" max="41" width="11.44140625" bestFit="1" customWidth="1"/>
    <col min="42" max="42" width="14.21875" bestFit="1" customWidth="1"/>
    <col min="49" max="49" width="11.5546875" bestFit="1" customWidth="1"/>
    <col min="50" max="55" width="10.44140625" bestFit="1" customWidth="1"/>
    <col min="56" max="56" width="13.21875" bestFit="1" customWidth="1"/>
    <col min="57" max="62" width="16.6640625" bestFit="1" customWidth="1"/>
    <col min="63" max="63" width="13.88671875" bestFit="1" customWidth="1"/>
    <col min="64" max="69" width="11.44140625" bestFit="1" customWidth="1"/>
    <col min="70" max="70" width="14.21875" bestFit="1" customWidth="1"/>
    <col min="77" max="77" width="11.5546875" bestFit="1" customWidth="1"/>
    <col min="78" max="83" width="10.44140625" bestFit="1" customWidth="1"/>
    <col min="84" max="84" width="13.21875" bestFit="1" customWidth="1"/>
    <col min="85" max="85" width="16.33203125" bestFit="1" customWidth="1"/>
    <col min="86" max="86" width="17.88671875" bestFit="1" customWidth="1"/>
    <col min="87" max="87" width="21.5546875" bestFit="1" customWidth="1"/>
  </cols>
  <sheetData>
    <row r="3" spans="1:4" x14ac:dyDescent="0.3">
      <c r="A3" s="16" t="s">
        <v>613</v>
      </c>
      <c r="B3" t="s">
        <v>616</v>
      </c>
      <c r="C3" t="s">
        <v>617</v>
      </c>
      <c r="D3" t="s">
        <v>618</v>
      </c>
    </row>
    <row r="4" spans="1:4" x14ac:dyDescent="0.3">
      <c r="A4" s="17" t="s">
        <v>43</v>
      </c>
      <c r="B4">
        <v>196824</v>
      </c>
      <c r="C4">
        <v>32470</v>
      </c>
      <c r="D4">
        <v>19364</v>
      </c>
    </row>
    <row r="5" spans="1:4" x14ac:dyDescent="0.3">
      <c r="A5" s="19" t="s">
        <v>45</v>
      </c>
      <c r="B5">
        <v>37929</v>
      </c>
      <c r="C5">
        <v>6700</v>
      </c>
      <c r="D5">
        <v>3764</v>
      </c>
    </row>
    <row r="6" spans="1:4" x14ac:dyDescent="0.3">
      <c r="A6" s="19" t="s">
        <v>52</v>
      </c>
      <c r="B6">
        <v>63432</v>
      </c>
      <c r="C6">
        <v>11344</v>
      </c>
      <c r="D6">
        <v>6088</v>
      </c>
    </row>
    <row r="7" spans="1:4" x14ac:dyDescent="0.3">
      <c r="A7" s="19" t="s">
        <v>16</v>
      </c>
      <c r="B7">
        <v>28595</v>
      </c>
      <c r="C7">
        <v>4763</v>
      </c>
      <c r="D7">
        <v>3071</v>
      </c>
    </row>
    <row r="8" spans="1:4" x14ac:dyDescent="0.3">
      <c r="A8" s="19" t="s">
        <v>35</v>
      </c>
      <c r="B8">
        <v>19598</v>
      </c>
      <c r="C8">
        <v>3587</v>
      </c>
      <c r="D8">
        <v>2355</v>
      </c>
    </row>
    <row r="9" spans="1:4" x14ac:dyDescent="0.3">
      <c r="A9" s="19" t="s">
        <v>22</v>
      </c>
      <c r="B9">
        <v>25983</v>
      </c>
      <c r="C9">
        <v>3882</v>
      </c>
      <c r="D9">
        <v>2680</v>
      </c>
    </row>
    <row r="10" spans="1:4" x14ac:dyDescent="0.3">
      <c r="A10" s="19" t="s">
        <v>74</v>
      </c>
      <c r="B10">
        <v>21287</v>
      </c>
      <c r="C10">
        <v>2194</v>
      </c>
      <c r="D10">
        <v>1406</v>
      </c>
    </row>
    <row r="11" spans="1:4" x14ac:dyDescent="0.3">
      <c r="A11" s="17" t="s">
        <v>33</v>
      </c>
      <c r="B11">
        <v>167318</v>
      </c>
      <c r="C11">
        <v>34186</v>
      </c>
      <c r="D11">
        <v>14079</v>
      </c>
    </row>
    <row r="12" spans="1:4" x14ac:dyDescent="0.3">
      <c r="A12" s="19" t="s">
        <v>45</v>
      </c>
      <c r="B12">
        <v>27350</v>
      </c>
      <c r="C12">
        <v>5093</v>
      </c>
      <c r="D12">
        <v>2498</v>
      </c>
    </row>
    <row r="13" spans="1:4" x14ac:dyDescent="0.3">
      <c r="A13" s="19" t="s">
        <v>52</v>
      </c>
      <c r="B13">
        <v>34202</v>
      </c>
      <c r="C13">
        <v>5286</v>
      </c>
      <c r="D13">
        <v>2655</v>
      </c>
    </row>
    <row r="14" spans="1:4" x14ac:dyDescent="0.3">
      <c r="A14" s="19" t="s">
        <v>16</v>
      </c>
      <c r="B14">
        <v>30178</v>
      </c>
      <c r="C14">
        <v>7435</v>
      </c>
      <c r="D14">
        <v>2908</v>
      </c>
    </row>
    <row r="15" spans="1:4" x14ac:dyDescent="0.3">
      <c r="A15" s="19" t="s">
        <v>35</v>
      </c>
      <c r="B15">
        <v>35473</v>
      </c>
      <c r="C15">
        <v>6932</v>
      </c>
      <c r="D15">
        <v>2859</v>
      </c>
    </row>
    <row r="16" spans="1:4" x14ac:dyDescent="0.3">
      <c r="A16" s="19" t="s">
        <v>22</v>
      </c>
      <c r="B16">
        <v>18616</v>
      </c>
      <c r="C16">
        <v>4031</v>
      </c>
      <c r="D16">
        <v>1503</v>
      </c>
    </row>
    <row r="17" spans="1:4" x14ac:dyDescent="0.3">
      <c r="A17" s="19" t="s">
        <v>74</v>
      </c>
      <c r="B17">
        <v>21499</v>
      </c>
      <c r="C17">
        <v>5409</v>
      </c>
      <c r="D17">
        <v>1656</v>
      </c>
    </row>
    <row r="18" spans="1:4" x14ac:dyDescent="0.3">
      <c r="A18" s="17" t="s">
        <v>14</v>
      </c>
      <c r="B18">
        <v>162326</v>
      </c>
      <c r="C18">
        <v>28208</v>
      </c>
      <c r="D18">
        <v>17156</v>
      </c>
    </row>
    <row r="19" spans="1:4" x14ac:dyDescent="0.3">
      <c r="A19" s="19" t="s">
        <v>45</v>
      </c>
      <c r="B19">
        <v>38145</v>
      </c>
      <c r="C19">
        <v>4503</v>
      </c>
      <c r="D19">
        <v>3225</v>
      </c>
    </row>
    <row r="20" spans="1:4" x14ac:dyDescent="0.3">
      <c r="A20" s="19" t="s">
        <v>52</v>
      </c>
      <c r="B20">
        <v>28351</v>
      </c>
      <c r="C20">
        <v>4471</v>
      </c>
      <c r="D20">
        <v>3397</v>
      </c>
    </row>
    <row r="21" spans="1:4" x14ac:dyDescent="0.3">
      <c r="A21" s="19" t="s">
        <v>16</v>
      </c>
      <c r="B21">
        <v>19051</v>
      </c>
      <c r="C21">
        <v>3891</v>
      </c>
      <c r="D21">
        <v>1654</v>
      </c>
    </row>
    <row r="22" spans="1:4" x14ac:dyDescent="0.3">
      <c r="A22" s="19" t="s">
        <v>35</v>
      </c>
      <c r="B22">
        <v>18516</v>
      </c>
      <c r="C22">
        <v>4795</v>
      </c>
      <c r="D22">
        <v>2548</v>
      </c>
    </row>
    <row r="23" spans="1:4" x14ac:dyDescent="0.3">
      <c r="A23" s="19" t="s">
        <v>22</v>
      </c>
      <c r="B23">
        <v>29752</v>
      </c>
      <c r="C23">
        <v>4431</v>
      </c>
      <c r="D23">
        <v>3517</v>
      </c>
    </row>
    <row r="24" spans="1:4" x14ac:dyDescent="0.3">
      <c r="A24" s="19" t="s">
        <v>74</v>
      </c>
      <c r="B24">
        <v>28511</v>
      </c>
      <c r="C24">
        <v>6117</v>
      </c>
      <c r="D24">
        <v>2815</v>
      </c>
    </row>
    <row r="25" spans="1:4" x14ac:dyDescent="0.3">
      <c r="A25" s="17" t="s">
        <v>27</v>
      </c>
      <c r="B25">
        <v>143363</v>
      </c>
      <c r="C25">
        <v>22511</v>
      </c>
      <c r="D25">
        <v>11139</v>
      </c>
    </row>
    <row r="26" spans="1:4" x14ac:dyDescent="0.3">
      <c r="A26" s="19" t="s">
        <v>45</v>
      </c>
      <c r="B26">
        <v>24122</v>
      </c>
      <c r="C26">
        <v>5666</v>
      </c>
      <c r="D26">
        <v>2379</v>
      </c>
    </row>
    <row r="27" spans="1:4" x14ac:dyDescent="0.3">
      <c r="A27" s="19" t="s">
        <v>52</v>
      </c>
      <c r="B27">
        <v>17865</v>
      </c>
      <c r="C27">
        <v>3179</v>
      </c>
      <c r="D27">
        <v>2031</v>
      </c>
    </row>
    <row r="28" spans="1:4" x14ac:dyDescent="0.3">
      <c r="A28" s="19" t="s">
        <v>16</v>
      </c>
      <c r="B28">
        <v>24088</v>
      </c>
      <c r="C28">
        <v>2799</v>
      </c>
      <c r="D28">
        <v>1735</v>
      </c>
    </row>
    <row r="29" spans="1:4" x14ac:dyDescent="0.3">
      <c r="A29" s="19" t="s">
        <v>35</v>
      </c>
      <c r="B29">
        <v>31968</v>
      </c>
      <c r="C29">
        <v>3866</v>
      </c>
      <c r="D29">
        <v>2012</v>
      </c>
    </row>
    <row r="30" spans="1:4" x14ac:dyDescent="0.3">
      <c r="A30" s="19" t="s">
        <v>22</v>
      </c>
      <c r="B30">
        <v>16895</v>
      </c>
      <c r="C30">
        <v>1979</v>
      </c>
      <c r="D30">
        <v>838</v>
      </c>
    </row>
    <row r="31" spans="1:4" x14ac:dyDescent="0.3">
      <c r="A31" s="19" t="s">
        <v>74</v>
      </c>
      <c r="B31">
        <v>28425</v>
      </c>
      <c r="C31">
        <v>5022</v>
      </c>
      <c r="D31">
        <v>2144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97DF-9EF6-4D27-847F-842C40A116DD}">
  <dimension ref="A3:C7"/>
  <sheetViews>
    <sheetView workbookViewId="0">
      <selection activeCell="C5" sqref="C5"/>
    </sheetView>
  </sheetViews>
  <sheetFormatPr defaultRowHeight="14.4" x14ac:dyDescent="0.3"/>
  <cols>
    <col min="1" max="1" width="17.44140625" bestFit="1" customWidth="1"/>
    <col min="2" max="2" width="14.77734375" bestFit="1" customWidth="1"/>
    <col min="3" max="3" width="23.5546875" bestFit="1" customWidth="1"/>
    <col min="4" max="4" width="24.5546875" bestFit="1" customWidth="1"/>
  </cols>
  <sheetData>
    <row r="3" spans="1:3" x14ac:dyDescent="0.3">
      <c r="A3" s="16" t="s">
        <v>613</v>
      </c>
      <c r="B3" t="s">
        <v>619</v>
      </c>
      <c r="C3" t="s">
        <v>615</v>
      </c>
    </row>
    <row r="4" spans="1:3" x14ac:dyDescent="0.3">
      <c r="A4" s="17" t="s">
        <v>37</v>
      </c>
      <c r="B4">
        <v>78</v>
      </c>
      <c r="C4" s="18">
        <v>0.30748559604864212</v>
      </c>
    </row>
    <row r="5" spans="1:3" x14ac:dyDescent="0.3">
      <c r="A5" s="17" t="s">
        <v>62</v>
      </c>
      <c r="B5">
        <v>84</v>
      </c>
      <c r="C5" s="18">
        <v>0.33900772701902426</v>
      </c>
    </row>
    <row r="6" spans="1:3" x14ac:dyDescent="0.3">
      <c r="A6" s="17" t="s">
        <v>30</v>
      </c>
      <c r="B6">
        <v>82</v>
      </c>
      <c r="C6" s="18">
        <v>0.35350667693233312</v>
      </c>
    </row>
    <row r="7" spans="1:3" x14ac:dyDescent="0.3">
      <c r="A7" s="17" t="s">
        <v>614</v>
      </c>
      <c r="B7">
        <v>244</v>
      </c>
      <c r="C7" s="18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F06E-B19E-467F-A770-791C73CDE482}">
  <dimension ref="A3:B8"/>
  <sheetViews>
    <sheetView workbookViewId="0">
      <selection activeCell="L13" sqref="L13"/>
    </sheetView>
  </sheetViews>
  <sheetFormatPr defaultRowHeight="14.4" x14ac:dyDescent="0.3"/>
  <cols>
    <col min="1" max="1" width="12.5546875" bestFit="1" customWidth="1"/>
    <col min="2" max="2" width="23.5546875" bestFit="1" customWidth="1"/>
  </cols>
  <sheetData>
    <row r="3" spans="1:2" x14ac:dyDescent="0.3">
      <c r="A3" s="16" t="s">
        <v>613</v>
      </c>
      <c r="B3" t="s">
        <v>615</v>
      </c>
    </row>
    <row r="4" spans="1:2" x14ac:dyDescent="0.3">
      <c r="A4" s="17" t="s">
        <v>43</v>
      </c>
      <c r="B4" s="18">
        <v>0.22562742555594623</v>
      </c>
    </row>
    <row r="5" spans="1:2" x14ac:dyDescent="0.3">
      <c r="A5" s="17" t="s">
        <v>33</v>
      </c>
      <c r="B5" s="18">
        <v>0.32527245820127426</v>
      </c>
    </row>
    <row r="6" spans="1:2" x14ac:dyDescent="0.3">
      <c r="A6" s="17" t="s">
        <v>14</v>
      </c>
      <c r="B6" s="18">
        <v>0.28099539822269043</v>
      </c>
    </row>
    <row r="7" spans="1:2" x14ac:dyDescent="0.3">
      <c r="A7" s="17" t="s">
        <v>27</v>
      </c>
      <c r="B7" s="18">
        <v>0.16810471802008894</v>
      </c>
    </row>
    <row r="8" spans="1:2" x14ac:dyDescent="0.3">
      <c r="A8" s="17" t="s">
        <v>614</v>
      </c>
      <c r="B8" s="18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8.21875" customWidth="1"/>
    <col min="5" max="5" width="41.33203125" customWidth="1"/>
    <col min="6" max="11" width="8.6640625" customWidth="1"/>
    <col min="12" max="12" width="38.33203125" customWidth="1"/>
    <col min="13" max="13" width="20.44140625" customWidth="1"/>
    <col min="14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80BB-8224-4B85-8513-1E93093D257C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3" spans="1:2" x14ac:dyDescent="0.3">
      <c r="A3" s="16" t="s">
        <v>613</v>
      </c>
      <c r="B3" t="s">
        <v>622</v>
      </c>
    </row>
    <row r="4" spans="1:2" x14ac:dyDescent="0.3">
      <c r="A4" s="17" t="s">
        <v>43</v>
      </c>
      <c r="B4" s="18">
        <v>0.18274442079353878</v>
      </c>
    </row>
    <row r="5" spans="1:2" x14ac:dyDescent="0.3">
      <c r="A5" s="17" t="s">
        <v>33</v>
      </c>
      <c r="B5" s="18">
        <v>0.19006666928260424</v>
      </c>
    </row>
    <row r="6" spans="1:2" x14ac:dyDescent="0.3">
      <c r="A6" s="17" t="s">
        <v>14</v>
      </c>
      <c r="B6" s="18">
        <v>0.32032252572447906</v>
      </c>
    </row>
    <row r="7" spans="1:2" x14ac:dyDescent="0.3">
      <c r="A7" s="17" t="s">
        <v>27</v>
      </c>
      <c r="B7" s="18">
        <v>0.30686638419937801</v>
      </c>
    </row>
    <row r="8" spans="1:2" x14ac:dyDescent="0.3">
      <c r="A8" s="17" t="s">
        <v>614</v>
      </c>
      <c r="B8" s="18">
        <v>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8069-A80F-4A4F-9F69-AE1B1662BA68}">
  <dimension ref="A3:C8"/>
  <sheetViews>
    <sheetView workbookViewId="0">
      <selection activeCell="R13" sqref="R13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3.109375" bestFit="1" customWidth="1"/>
  </cols>
  <sheetData>
    <row r="3" spans="1:3" x14ac:dyDescent="0.3">
      <c r="A3" s="16" t="s">
        <v>613</v>
      </c>
      <c r="B3" t="s">
        <v>623</v>
      </c>
      <c r="C3" t="s">
        <v>624</v>
      </c>
    </row>
    <row r="4" spans="1:3" x14ac:dyDescent="0.3">
      <c r="A4" s="17" t="s">
        <v>43</v>
      </c>
      <c r="B4">
        <v>1379539</v>
      </c>
      <c r="C4" s="18">
        <v>0.25017272840009214</v>
      </c>
    </row>
    <row r="5" spans="1:3" x14ac:dyDescent="0.3">
      <c r="A5" s="17" t="s">
        <v>33</v>
      </c>
      <c r="B5">
        <v>1164373</v>
      </c>
      <c r="C5" s="18">
        <v>0.25314011373500805</v>
      </c>
    </row>
    <row r="6" spans="1:3" x14ac:dyDescent="0.3">
      <c r="A6" s="17" t="s">
        <v>14</v>
      </c>
      <c r="B6">
        <v>1060357</v>
      </c>
      <c r="C6" s="18">
        <v>0.25049161160026218</v>
      </c>
    </row>
    <row r="7" spans="1:3" x14ac:dyDescent="0.3">
      <c r="A7" s="17" t="s">
        <v>27</v>
      </c>
      <c r="B7">
        <v>1228647</v>
      </c>
      <c r="C7" s="18">
        <v>0.2461955462646376</v>
      </c>
    </row>
    <row r="8" spans="1:3" x14ac:dyDescent="0.3">
      <c r="A8" s="17" t="s">
        <v>614</v>
      </c>
      <c r="B8">
        <v>4832916</v>
      </c>
      <c r="C8" s="18">
        <v>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2AF6-B1C1-4BEC-9198-7A777012D063}">
  <dimension ref="A3:C33"/>
  <sheetViews>
    <sheetView workbookViewId="0">
      <selection activeCell="F25" sqref="F25"/>
    </sheetView>
  </sheetViews>
  <sheetFormatPr defaultRowHeight="14.4" x14ac:dyDescent="0.3"/>
  <cols>
    <col min="1" max="1" width="15.6640625" bestFit="1" customWidth="1"/>
    <col min="2" max="2" width="18.109375" bestFit="1" customWidth="1"/>
    <col min="3" max="3" width="20.33203125" bestFit="1" customWidth="1"/>
    <col min="4" max="50" width="15.5546875" bestFit="1" customWidth="1"/>
    <col min="51" max="52" width="10.77734375" bestFit="1" customWidth="1"/>
  </cols>
  <sheetData>
    <row r="3" spans="1:3" x14ac:dyDescent="0.3">
      <c r="A3" s="16" t="s">
        <v>613</v>
      </c>
      <c r="B3" t="s">
        <v>622</v>
      </c>
      <c r="C3" t="s">
        <v>645</v>
      </c>
    </row>
    <row r="4" spans="1:3" x14ac:dyDescent="0.3">
      <c r="A4" s="17" t="s">
        <v>43</v>
      </c>
      <c r="B4" s="18">
        <v>3.5424569750212478E-2</v>
      </c>
      <c r="C4">
        <v>2576</v>
      </c>
    </row>
    <row r="5" spans="1:3" x14ac:dyDescent="0.3">
      <c r="A5" s="19" t="s">
        <v>455</v>
      </c>
      <c r="B5" s="18">
        <v>2.8890264227498302E-3</v>
      </c>
      <c r="C5">
        <v>505</v>
      </c>
    </row>
    <row r="6" spans="1:3" x14ac:dyDescent="0.3">
      <c r="A6" s="19" t="s">
        <v>573</v>
      </c>
      <c r="B6" s="18">
        <v>1.2204682124485958E-2</v>
      </c>
      <c r="C6">
        <v>350</v>
      </c>
    </row>
    <row r="7" spans="1:3" x14ac:dyDescent="0.3">
      <c r="A7" s="19" t="s">
        <v>315</v>
      </c>
      <c r="B7" s="18">
        <v>-4.8638337707101525E-3</v>
      </c>
      <c r="C7">
        <v>170</v>
      </c>
    </row>
    <row r="8" spans="1:3" x14ac:dyDescent="0.3">
      <c r="A8" s="19" t="s">
        <v>574</v>
      </c>
      <c r="B8" s="18">
        <v>3.2447298372698982E-2</v>
      </c>
      <c r="C8">
        <v>1391</v>
      </c>
    </row>
    <row r="9" spans="1:3" x14ac:dyDescent="0.3">
      <c r="A9" s="19" t="s">
        <v>268</v>
      </c>
      <c r="B9" s="18">
        <v>-7.2526033990121443E-3</v>
      </c>
      <c r="C9">
        <v>160</v>
      </c>
    </row>
    <row r="10" spans="1:3" x14ac:dyDescent="0.3">
      <c r="A10" s="17" t="s">
        <v>33</v>
      </c>
      <c r="B10" s="18">
        <v>0.64428596227070944</v>
      </c>
      <c r="C10">
        <v>5104</v>
      </c>
    </row>
    <row r="11" spans="1:3" x14ac:dyDescent="0.3">
      <c r="A11" s="19" t="s">
        <v>455</v>
      </c>
      <c r="B11" s="18">
        <v>-5.1814067016045656E-3</v>
      </c>
      <c r="C11">
        <v>226</v>
      </c>
    </row>
    <row r="12" spans="1:3" x14ac:dyDescent="0.3">
      <c r="A12" s="19" t="s">
        <v>573</v>
      </c>
      <c r="B12" s="18">
        <v>0.2935643654202702</v>
      </c>
      <c r="C12">
        <v>1757</v>
      </c>
    </row>
    <row r="13" spans="1:3" x14ac:dyDescent="0.3">
      <c r="A13" s="19" t="s">
        <v>315</v>
      </c>
      <c r="B13" s="18">
        <v>0.12026392896773053</v>
      </c>
      <c r="C13">
        <v>1960</v>
      </c>
    </row>
    <row r="14" spans="1:3" x14ac:dyDescent="0.3">
      <c r="A14" s="19" t="s">
        <v>574</v>
      </c>
      <c r="B14" s="18">
        <v>3.3330680846175732E-3</v>
      </c>
      <c r="C14">
        <v>508</v>
      </c>
    </row>
    <row r="15" spans="1:3" x14ac:dyDescent="0.3">
      <c r="A15" s="19" t="s">
        <v>268</v>
      </c>
      <c r="B15" s="18">
        <v>0.23230600649969571</v>
      </c>
      <c r="C15">
        <v>653</v>
      </c>
    </row>
    <row r="16" spans="1:3" x14ac:dyDescent="0.3">
      <c r="A16" s="17" t="s">
        <v>14</v>
      </c>
      <c r="B16" s="18">
        <v>0.1939810738066437</v>
      </c>
      <c r="C16">
        <v>6568</v>
      </c>
    </row>
    <row r="17" spans="1:3" x14ac:dyDescent="0.3">
      <c r="A17" s="19" t="s">
        <v>455</v>
      </c>
      <c r="B17" s="18">
        <v>4.2917012244965969E-2</v>
      </c>
      <c r="C17">
        <v>1420</v>
      </c>
    </row>
    <row r="18" spans="1:3" x14ac:dyDescent="0.3">
      <c r="A18" s="19" t="s">
        <v>573</v>
      </c>
      <c r="B18" s="18">
        <v>1.3952484672387782E-2</v>
      </c>
      <c r="C18">
        <v>987</v>
      </c>
    </row>
    <row r="19" spans="1:3" x14ac:dyDescent="0.3">
      <c r="A19" s="19" t="s">
        <v>315</v>
      </c>
      <c r="B19" s="18">
        <v>1.8883284216499006E-2</v>
      </c>
      <c r="C19">
        <v>704</v>
      </c>
    </row>
    <row r="20" spans="1:3" x14ac:dyDescent="0.3">
      <c r="A20" s="19" t="s">
        <v>574</v>
      </c>
      <c r="B20" s="18">
        <v>6.6340814132972672E-2</v>
      </c>
      <c r="C20">
        <v>1701</v>
      </c>
    </row>
    <row r="21" spans="1:3" x14ac:dyDescent="0.3">
      <c r="A21" s="19" t="s">
        <v>268</v>
      </c>
      <c r="B21" s="18">
        <v>5.188747853981826E-2</v>
      </c>
      <c r="C21">
        <v>1756</v>
      </c>
    </row>
    <row r="22" spans="1:3" x14ac:dyDescent="0.3">
      <c r="A22" s="17" t="s">
        <v>27</v>
      </c>
      <c r="B22" s="18">
        <v>0.12630839417243461</v>
      </c>
      <c r="C22">
        <v>2631</v>
      </c>
    </row>
    <row r="23" spans="1:3" x14ac:dyDescent="0.3">
      <c r="A23" s="19" t="s">
        <v>455</v>
      </c>
      <c r="B23" s="18">
        <v>7.9546324240525601E-3</v>
      </c>
      <c r="C23">
        <v>144</v>
      </c>
    </row>
    <row r="24" spans="1:3" x14ac:dyDescent="0.3">
      <c r="A24" s="19" t="s">
        <v>573</v>
      </c>
      <c r="B24" s="18">
        <v>2.1886644013139923E-2</v>
      </c>
      <c r="C24">
        <v>883</v>
      </c>
    </row>
    <row r="25" spans="1:3" x14ac:dyDescent="0.3">
      <c r="A25" s="19" t="s">
        <v>315</v>
      </c>
      <c r="B25" s="18">
        <v>1.0149605742324798E-2</v>
      </c>
      <c r="C25">
        <v>224</v>
      </c>
    </row>
    <row r="26" spans="1:3" x14ac:dyDescent="0.3">
      <c r="A26" s="19" t="s">
        <v>574</v>
      </c>
      <c r="B26" s="18">
        <v>1.0277672443629482E-2</v>
      </c>
      <c r="C26">
        <v>804</v>
      </c>
    </row>
    <row r="27" spans="1:3" x14ac:dyDescent="0.3">
      <c r="A27" s="19" t="s">
        <v>268</v>
      </c>
      <c r="B27" s="18">
        <v>7.6039839549287822E-2</v>
      </c>
      <c r="C27">
        <v>576</v>
      </c>
    </row>
    <row r="28" spans="1:3" x14ac:dyDescent="0.3">
      <c r="A28" s="19" t="s">
        <v>640</v>
      </c>
      <c r="B28" s="18">
        <v>4.8579264390163801E-2</v>
      </c>
      <c r="C28">
        <v>2295</v>
      </c>
    </row>
    <row r="29" spans="1:3" x14ac:dyDescent="0.3">
      <c r="A29" s="19" t="s">
        <v>641</v>
      </c>
      <c r="B29" s="18">
        <v>0.34160817623028389</v>
      </c>
      <c r="C29">
        <v>3977</v>
      </c>
    </row>
    <row r="30" spans="1:3" x14ac:dyDescent="0.3">
      <c r="A30" s="19" t="s">
        <v>642</v>
      </c>
      <c r="B30" s="18">
        <v>0.14443298515584416</v>
      </c>
      <c r="C30">
        <v>3058</v>
      </c>
    </row>
    <row r="31" spans="1:3" x14ac:dyDescent="0.3">
      <c r="A31" s="19" t="s">
        <v>643</v>
      </c>
      <c r="B31" s="18">
        <v>0.11239885303391871</v>
      </c>
      <c r="C31">
        <v>4404</v>
      </c>
    </row>
    <row r="32" spans="1:3" x14ac:dyDescent="0.3">
      <c r="A32" s="19" t="s">
        <v>644</v>
      </c>
      <c r="B32" s="18">
        <v>0.35298072118978968</v>
      </c>
      <c r="C32">
        <v>3145</v>
      </c>
    </row>
    <row r="33" spans="1:3" x14ac:dyDescent="0.3">
      <c r="A33" s="17" t="s">
        <v>614</v>
      </c>
      <c r="B33" s="18">
        <v>1</v>
      </c>
      <c r="C33">
        <v>16879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FFEE-85AF-4658-915A-59699D923D0C}">
  <dimension ref="A1:D201"/>
  <sheetViews>
    <sheetView workbookViewId="0">
      <selection activeCell="J23" sqref="J23"/>
    </sheetView>
  </sheetViews>
  <sheetFormatPr defaultRowHeight="14.4" x14ac:dyDescent="0.3"/>
  <cols>
    <col min="1" max="1" width="21.109375" customWidth="1"/>
    <col min="2" max="2" width="18.21875" customWidth="1"/>
    <col min="4" max="4" width="25" customWidth="1"/>
  </cols>
  <sheetData>
    <row r="1" spans="1:4" x14ac:dyDescent="0.3">
      <c r="A1" s="22" t="s">
        <v>568</v>
      </c>
      <c r="B1" s="22" t="s">
        <v>569</v>
      </c>
      <c r="C1" s="22" t="s">
        <v>572</v>
      </c>
      <c r="D1" s="43" t="s">
        <v>646</v>
      </c>
    </row>
    <row r="2" spans="1:4" x14ac:dyDescent="0.3">
      <c r="A2" s="21">
        <v>1135</v>
      </c>
      <c r="B2" s="21">
        <v>88</v>
      </c>
      <c r="C2" s="21">
        <v>5904</v>
      </c>
      <c r="D2" s="44">
        <f>A2-B2</f>
        <v>1047</v>
      </c>
    </row>
    <row r="3" spans="1:4" x14ac:dyDescent="0.3">
      <c r="A3" s="21">
        <v>1312</v>
      </c>
      <c r="B3" s="21">
        <v>310</v>
      </c>
      <c r="C3" s="21">
        <v>9566</v>
      </c>
      <c r="D3" s="44">
        <f>A3-B3</f>
        <v>1002</v>
      </c>
    </row>
    <row r="4" spans="1:4" x14ac:dyDescent="0.3">
      <c r="A4" s="21">
        <v>584</v>
      </c>
      <c r="B4" s="21">
        <v>169</v>
      </c>
      <c r="C4" s="21">
        <v>26752</v>
      </c>
      <c r="D4" s="44">
        <f>A4-B4</f>
        <v>415</v>
      </c>
    </row>
    <row r="5" spans="1:4" x14ac:dyDescent="0.3">
      <c r="A5" s="21">
        <v>1535</v>
      </c>
      <c r="B5" s="21">
        <v>445</v>
      </c>
      <c r="C5" s="21">
        <v>30671</v>
      </c>
      <c r="D5" s="44">
        <f>A5-B5</f>
        <v>1090</v>
      </c>
    </row>
    <row r="6" spans="1:4" x14ac:dyDescent="0.3">
      <c r="A6" s="21">
        <v>656</v>
      </c>
      <c r="B6" s="21">
        <v>139</v>
      </c>
      <c r="C6" s="21">
        <v>9920</v>
      </c>
      <c r="D6" s="44">
        <f>A6-B6</f>
        <v>517</v>
      </c>
    </row>
    <row r="7" spans="1:4" x14ac:dyDescent="0.3">
      <c r="A7" s="21">
        <v>1697</v>
      </c>
      <c r="B7" s="21">
        <v>414</v>
      </c>
      <c r="C7" s="21">
        <v>7924</v>
      </c>
      <c r="D7" s="44">
        <f>A7-B7</f>
        <v>1283</v>
      </c>
    </row>
    <row r="8" spans="1:4" x14ac:dyDescent="0.3">
      <c r="A8" s="21">
        <v>436</v>
      </c>
      <c r="B8" s="21">
        <v>250</v>
      </c>
      <c r="C8" s="21">
        <v>8912</v>
      </c>
      <c r="D8" s="44">
        <f>A8-B8</f>
        <v>186</v>
      </c>
    </row>
    <row r="9" spans="1:4" x14ac:dyDescent="0.3">
      <c r="A9" s="21">
        <v>1197</v>
      </c>
      <c r="B9" s="21">
        <v>203</v>
      </c>
      <c r="C9" s="21">
        <v>21205</v>
      </c>
      <c r="D9" s="44">
        <f>A9-B9</f>
        <v>994</v>
      </c>
    </row>
    <row r="10" spans="1:4" x14ac:dyDescent="0.3">
      <c r="A10" s="21">
        <v>1048</v>
      </c>
      <c r="B10" s="21">
        <v>155</v>
      </c>
      <c r="C10" s="21">
        <v>11329</v>
      </c>
      <c r="D10" s="44">
        <f>A10-B10</f>
        <v>893</v>
      </c>
    </row>
    <row r="11" spans="1:4" x14ac:dyDescent="0.3">
      <c r="A11" s="21">
        <v>1753</v>
      </c>
      <c r="B11" s="21">
        <v>371</v>
      </c>
      <c r="C11" s="21">
        <v>46670</v>
      </c>
      <c r="D11" s="44">
        <f>A11-B11</f>
        <v>1382</v>
      </c>
    </row>
    <row r="12" spans="1:4" x14ac:dyDescent="0.3">
      <c r="A12" s="21">
        <v>1335</v>
      </c>
      <c r="B12" s="21">
        <v>40</v>
      </c>
      <c r="C12" s="21">
        <v>22482</v>
      </c>
      <c r="D12" s="44">
        <f>A12-B12</f>
        <v>1295</v>
      </c>
    </row>
    <row r="13" spans="1:4" x14ac:dyDescent="0.3">
      <c r="A13" s="21">
        <v>403</v>
      </c>
      <c r="B13" s="21">
        <v>66</v>
      </c>
      <c r="C13" s="21">
        <v>24313</v>
      </c>
      <c r="D13" s="44">
        <f>A13-B13</f>
        <v>337</v>
      </c>
    </row>
    <row r="14" spans="1:4" x14ac:dyDescent="0.3">
      <c r="A14" s="21">
        <v>911</v>
      </c>
      <c r="B14" s="21">
        <v>282</v>
      </c>
      <c r="C14" s="21">
        <v>18050</v>
      </c>
      <c r="D14" s="44">
        <f>A14-B14</f>
        <v>629</v>
      </c>
    </row>
    <row r="15" spans="1:4" x14ac:dyDescent="0.3">
      <c r="A15" s="21">
        <v>1779</v>
      </c>
      <c r="B15" s="21">
        <v>109</v>
      </c>
      <c r="C15" s="21">
        <v>30635</v>
      </c>
      <c r="D15" s="44">
        <f>A15-B15</f>
        <v>1670</v>
      </c>
    </row>
    <row r="16" spans="1:4" x14ac:dyDescent="0.3">
      <c r="A16" s="21">
        <v>1238</v>
      </c>
      <c r="B16" s="21">
        <v>403</v>
      </c>
      <c r="C16" s="21">
        <v>31280</v>
      </c>
      <c r="D16" s="44">
        <f>A16-B16</f>
        <v>835</v>
      </c>
    </row>
    <row r="17" spans="1:4" x14ac:dyDescent="0.3">
      <c r="A17" s="21">
        <v>308</v>
      </c>
      <c r="B17" s="21">
        <v>431</v>
      </c>
      <c r="C17" s="21">
        <v>1783</v>
      </c>
      <c r="D17" s="44">
        <f>A17-B17</f>
        <v>-123</v>
      </c>
    </row>
    <row r="18" spans="1:4" x14ac:dyDescent="0.3">
      <c r="A18" s="21">
        <v>226</v>
      </c>
      <c r="B18" s="21">
        <v>445</v>
      </c>
      <c r="C18" s="21">
        <v>9566</v>
      </c>
      <c r="D18" s="44">
        <f>A18-B18</f>
        <v>-219</v>
      </c>
    </row>
    <row r="19" spans="1:4" x14ac:dyDescent="0.3">
      <c r="A19" s="21">
        <v>505</v>
      </c>
      <c r="B19" s="21">
        <v>441</v>
      </c>
      <c r="C19" s="21">
        <v>42307</v>
      </c>
      <c r="D19" s="44">
        <f>A19-B19</f>
        <v>64</v>
      </c>
    </row>
    <row r="20" spans="1:4" x14ac:dyDescent="0.3">
      <c r="A20" s="21">
        <v>1420</v>
      </c>
      <c r="B20" s="21">
        <v>63</v>
      </c>
      <c r="C20" s="21">
        <v>5914</v>
      </c>
      <c r="D20" s="44">
        <f>A20-B20</f>
        <v>1357</v>
      </c>
    </row>
    <row r="21" spans="1:4" x14ac:dyDescent="0.3">
      <c r="A21" s="21">
        <v>144</v>
      </c>
      <c r="B21" s="21">
        <v>53</v>
      </c>
      <c r="C21" s="21">
        <v>30060</v>
      </c>
      <c r="D21" s="44">
        <f>A21-B21</f>
        <v>91</v>
      </c>
    </row>
    <row r="22" spans="1:4" x14ac:dyDescent="0.3">
      <c r="A22" s="21">
        <v>1757</v>
      </c>
      <c r="B22" s="21">
        <v>85</v>
      </c>
      <c r="C22" s="21">
        <v>22728</v>
      </c>
      <c r="D22" s="44">
        <f>A22-B22</f>
        <v>1672</v>
      </c>
    </row>
    <row r="23" spans="1:4" x14ac:dyDescent="0.3">
      <c r="A23" s="21">
        <v>350</v>
      </c>
      <c r="B23" s="21">
        <v>41</v>
      </c>
      <c r="C23" s="21">
        <v>38610</v>
      </c>
      <c r="D23" s="44">
        <f>A23-B23</f>
        <v>309</v>
      </c>
    </row>
    <row r="24" spans="1:4" x14ac:dyDescent="0.3">
      <c r="A24" s="21">
        <v>987</v>
      </c>
      <c r="B24" s="21">
        <v>440</v>
      </c>
      <c r="C24" s="21">
        <v>2932</v>
      </c>
      <c r="D24" s="44">
        <f>A24-B24</f>
        <v>547</v>
      </c>
    </row>
    <row r="25" spans="1:4" x14ac:dyDescent="0.3">
      <c r="A25" s="21">
        <v>883</v>
      </c>
      <c r="B25" s="21">
        <v>369</v>
      </c>
      <c r="C25" s="21">
        <v>15071</v>
      </c>
      <c r="D25" s="44">
        <f>A25-B25</f>
        <v>514</v>
      </c>
    </row>
    <row r="26" spans="1:4" x14ac:dyDescent="0.3">
      <c r="A26" s="21">
        <v>1960</v>
      </c>
      <c r="B26" s="21">
        <v>115</v>
      </c>
      <c r="C26" s="21">
        <v>10740</v>
      </c>
      <c r="D26" s="44">
        <f>A26-B26</f>
        <v>1845</v>
      </c>
    </row>
    <row r="27" spans="1:4" x14ac:dyDescent="0.3">
      <c r="A27" s="21">
        <v>170</v>
      </c>
      <c r="B27" s="21">
        <v>334</v>
      </c>
      <c r="C27" s="21">
        <v>43420</v>
      </c>
      <c r="D27" s="44">
        <f>A27-B27</f>
        <v>-164</v>
      </c>
    </row>
    <row r="28" spans="1:4" x14ac:dyDescent="0.3">
      <c r="A28" s="21">
        <v>704</v>
      </c>
      <c r="B28" s="21">
        <v>275</v>
      </c>
      <c r="C28" s="21">
        <v>32393</v>
      </c>
      <c r="D28" s="44">
        <f>A28-B28</f>
        <v>429</v>
      </c>
    </row>
    <row r="29" spans="1:4" x14ac:dyDescent="0.3">
      <c r="A29" s="21">
        <v>224</v>
      </c>
      <c r="B29" s="21">
        <v>64</v>
      </c>
      <c r="C29" s="21">
        <v>28474</v>
      </c>
      <c r="D29" s="44">
        <f>A29-B29</f>
        <v>160</v>
      </c>
    </row>
    <row r="30" spans="1:4" x14ac:dyDescent="0.3">
      <c r="A30" s="21">
        <v>508</v>
      </c>
      <c r="B30" s="21">
        <v>349</v>
      </c>
      <c r="C30" s="21">
        <v>17328</v>
      </c>
      <c r="D30" s="44">
        <f>A30-B30</f>
        <v>159</v>
      </c>
    </row>
    <row r="31" spans="1:4" x14ac:dyDescent="0.3">
      <c r="A31" s="21">
        <v>1391</v>
      </c>
      <c r="B31" s="21">
        <v>430</v>
      </c>
      <c r="C31" s="21">
        <v>26067</v>
      </c>
      <c r="D31" s="44">
        <f>A31-B31</f>
        <v>961</v>
      </c>
    </row>
    <row r="32" spans="1:4" x14ac:dyDescent="0.3">
      <c r="A32" s="21">
        <v>1701</v>
      </c>
      <c r="B32" s="21">
        <v>385</v>
      </c>
      <c r="C32" s="21">
        <v>32763</v>
      </c>
      <c r="D32" s="44">
        <f>A32-B32</f>
        <v>1316</v>
      </c>
    </row>
    <row r="33" spans="1:4" x14ac:dyDescent="0.3">
      <c r="A33" s="21">
        <v>804</v>
      </c>
      <c r="B33" s="21">
        <v>487</v>
      </c>
      <c r="C33" s="21">
        <v>26452</v>
      </c>
      <c r="D33" s="44">
        <f>A33-B33</f>
        <v>317</v>
      </c>
    </row>
    <row r="34" spans="1:4" x14ac:dyDescent="0.3">
      <c r="A34" s="21">
        <v>653</v>
      </c>
      <c r="B34" s="21">
        <v>112</v>
      </c>
      <c r="C34" s="21">
        <v>15353</v>
      </c>
      <c r="D34" s="44">
        <f>A34-B34</f>
        <v>541</v>
      </c>
    </row>
    <row r="35" spans="1:4" x14ac:dyDescent="0.3">
      <c r="A35" s="21">
        <v>160</v>
      </c>
      <c r="B35" s="21">
        <v>478</v>
      </c>
      <c r="C35" s="21">
        <v>4839</v>
      </c>
      <c r="D35" s="44">
        <f>A35-B35</f>
        <v>-318</v>
      </c>
    </row>
    <row r="36" spans="1:4" x14ac:dyDescent="0.3">
      <c r="A36" s="21">
        <v>1756</v>
      </c>
      <c r="B36" s="21">
        <v>261</v>
      </c>
      <c r="C36" s="21">
        <v>39272</v>
      </c>
      <c r="D36" s="44">
        <f>A36-B36</f>
        <v>1495</v>
      </c>
    </row>
    <row r="37" spans="1:4" x14ac:dyDescent="0.3">
      <c r="A37" s="21">
        <v>576</v>
      </c>
      <c r="B37" s="21">
        <v>101</v>
      </c>
      <c r="C37" s="21">
        <v>16804</v>
      </c>
      <c r="D37" s="44">
        <f>A37-B37</f>
        <v>475</v>
      </c>
    </row>
    <row r="38" spans="1:4" x14ac:dyDescent="0.3">
      <c r="A38" s="21">
        <v>645</v>
      </c>
      <c r="B38" s="21">
        <v>293</v>
      </c>
      <c r="C38" s="21">
        <v>49303</v>
      </c>
      <c r="D38" s="44">
        <f>A38-B38</f>
        <v>352</v>
      </c>
    </row>
    <row r="39" spans="1:4" x14ac:dyDescent="0.3">
      <c r="A39" s="21">
        <v>214</v>
      </c>
      <c r="B39" s="21">
        <v>411</v>
      </c>
      <c r="C39" s="21">
        <v>26455</v>
      </c>
      <c r="D39" s="44">
        <f>A39-B39</f>
        <v>-197</v>
      </c>
    </row>
    <row r="40" spans="1:4" x14ac:dyDescent="0.3">
      <c r="A40" s="21">
        <v>826</v>
      </c>
      <c r="B40" s="21">
        <v>498</v>
      </c>
      <c r="C40" s="21">
        <v>12384</v>
      </c>
      <c r="D40" s="44">
        <f>A40-B40</f>
        <v>328</v>
      </c>
    </row>
    <row r="41" spans="1:4" x14ac:dyDescent="0.3">
      <c r="A41" s="21">
        <v>460</v>
      </c>
      <c r="B41" s="21">
        <v>141</v>
      </c>
      <c r="C41" s="21">
        <v>49372</v>
      </c>
      <c r="D41" s="44">
        <f>A41-B41</f>
        <v>319</v>
      </c>
    </row>
    <row r="42" spans="1:4" x14ac:dyDescent="0.3">
      <c r="A42" s="21">
        <v>1528</v>
      </c>
      <c r="B42" s="21">
        <v>203</v>
      </c>
      <c r="C42" s="21">
        <v>47101</v>
      </c>
      <c r="D42" s="44">
        <f>A42-B42</f>
        <v>1325</v>
      </c>
    </row>
    <row r="43" spans="1:4" x14ac:dyDescent="0.3">
      <c r="A43" s="21">
        <v>1534</v>
      </c>
      <c r="B43" s="21">
        <v>200</v>
      </c>
      <c r="C43" s="21">
        <v>37903</v>
      </c>
      <c r="D43" s="44">
        <f>A43-B43</f>
        <v>1334</v>
      </c>
    </row>
    <row r="44" spans="1:4" x14ac:dyDescent="0.3">
      <c r="A44" s="21">
        <v>485</v>
      </c>
      <c r="B44" s="21">
        <v>448</v>
      </c>
      <c r="C44" s="21">
        <v>33258</v>
      </c>
      <c r="D44" s="44">
        <f>A44-B44</f>
        <v>37</v>
      </c>
    </row>
    <row r="45" spans="1:4" x14ac:dyDescent="0.3">
      <c r="A45" s="21">
        <v>1210</v>
      </c>
      <c r="B45" s="21">
        <v>178</v>
      </c>
      <c r="C45" s="21">
        <v>6915</v>
      </c>
      <c r="D45" s="44">
        <f>A45-B45</f>
        <v>1032</v>
      </c>
    </row>
    <row r="46" spans="1:4" x14ac:dyDescent="0.3">
      <c r="A46" s="21">
        <v>215</v>
      </c>
      <c r="B46" s="21">
        <v>139</v>
      </c>
      <c r="C46" s="21">
        <v>35501</v>
      </c>
      <c r="D46" s="44">
        <f>A46-B46</f>
        <v>76</v>
      </c>
    </row>
    <row r="47" spans="1:4" x14ac:dyDescent="0.3">
      <c r="A47" s="21">
        <v>1078</v>
      </c>
      <c r="B47" s="21">
        <v>20</v>
      </c>
      <c r="C47" s="21">
        <v>14203</v>
      </c>
      <c r="D47" s="44">
        <f>A47-B47</f>
        <v>1058</v>
      </c>
    </row>
    <row r="48" spans="1:4" x14ac:dyDescent="0.3">
      <c r="A48" s="21">
        <v>1751</v>
      </c>
      <c r="B48" s="21">
        <v>86</v>
      </c>
      <c r="C48" s="21">
        <v>22206</v>
      </c>
      <c r="D48" s="44">
        <f>A48-B48</f>
        <v>1665</v>
      </c>
    </row>
    <row r="49" spans="1:4" x14ac:dyDescent="0.3">
      <c r="A49" s="21">
        <v>221</v>
      </c>
      <c r="B49" s="21">
        <v>31</v>
      </c>
      <c r="C49" s="21">
        <v>10283</v>
      </c>
      <c r="D49" s="44">
        <f>A49-B49</f>
        <v>190</v>
      </c>
    </row>
    <row r="50" spans="1:4" x14ac:dyDescent="0.3">
      <c r="A50" s="21">
        <v>1685</v>
      </c>
      <c r="B50" s="21">
        <v>76</v>
      </c>
      <c r="C50" s="21">
        <v>24913</v>
      </c>
      <c r="D50" s="44">
        <f>A50-B50</f>
        <v>1609</v>
      </c>
    </row>
    <row r="51" spans="1:4" x14ac:dyDescent="0.3">
      <c r="A51" s="21">
        <v>248</v>
      </c>
      <c r="B51" s="21">
        <v>211</v>
      </c>
      <c r="C51" s="21">
        <v>26925</v>
      </c>
      <c r="D51" s="44">
        <f>A51-B51</f>
        <v>37</v>
      </c>
    </row>
    <row r="52" spans="1:4" x14ac:dyDescent="0.3">
      <c r="A52" s="21">
        <v>1300</v>
      </c>
      <c r="B52" s="21">
        <v>71</v>
      </c>
      <c r="C52" s="21">
        <v>9942</v>
      </c>
      <c r="D52" s="44">
        <f>A52-B52</f>
        <v>1229</v>
      </c>
    </row>
    <row r="53" spans="1:4" x14ac:dyDescent="0.3">
      <c r="A53" s="21">
        <v>422</v>
      </c>
      <c r="B53" s="21">
        <v>394</v>
      </c>
      <c r="C53" s="21">
        <v>32929</v>
      </c>
      <c r="D53" s="44">
        <f>A53-B53</f>
        <v>28</v>
      </c>
    </row>
    <row r="54" spans="1:4" x14ac:dyDescent="0.3">
      <c r="A54" s="21">
        <v>1429</v>
      </c>
      <c r="B54" s="21">
        <v>182</v>
      </c>
      <c r="C54" s="21">
        <v>37829</v>
      </c>
      <c r="D54" s="44">
        <f>A54-B54</f>
        <v>1247</v>
      </c>
    </row>
    <row r="55" spans="1:4" x14ac:dyDescent="0.3">
      <c r="A55" s="21">
        <v>1520</v>
      </c>
      <c r="B55" s="21">
        <v>475</v>
      </c>
      <c r="C55" s="21">
        <v>24384</v>
      </c>
      <c r="D55" s="44">
        <f>A55-B55</f>
        <v>1045</v>
      </c>
    </row>
    <row r="56" spans="1:4" x14ac:dyDescent="0.3">
      <c r="A56" s="21">
        <v>557</v>
      </c>
      <c r="B56" s="21">
        <v>360</v>
      </c>
      <c r="C56" s="21">
        <v>25797</v>
      </c>
      <c r="D56" s="44">
        <f>A56-B56</f>
        <v>197</v>
      </c>
    </row>
    <row r="57" spans="1:4" x14ac:dyDescent="0.3">
      <c r="A57" s="21">
        <v>728</v>
      </c>
      <c r="B57" s="21">
        <v>395</v>
      </c>
      <c r="C57" s="21">
        <v>12646</v>
      </c>
      <c r="D57" s="44">
        <f>A57-B57</f>
        <v>333</v>
      </c>
    </row>
    <row r="58" spans="1:4" x14ac:dyDescent="0.3">
      <c r="A58" s="21">
        <v>1592</v>
      </c>
      <c r="B58" s="21">
        <v>20</v>
      </c>
      <c r="C58" s="21">
        <v>26663</v>
      </c>
      <c r="D58" s="44">
        <f>A58-B58</f>
        <v>1572</v>
      </c>
    </row>
    <row r="59" spans="1:4" x14ac:dyDescent="0.3">
      <c r="A59" s="21">
        <v>1842</v>
      </c>
      <c r="B59" s="21">
        <v>414</v>
      </c>
      <c r="C59" s="21">
        <v>40478</v>
      </c>
      <c r="D59" s="44">
        <f>A59-B59</f>
        <v>1428</v>
      </c>
    </row>
    <row r="60" spans="1:4" x14ac:dyDescent="0.3">
      <c r="A60" s="21">
        <v>751</v>
      </c>
      <c r="B60" s="21">
        <v>491</v>
      </c>
      <c r="C60" s="21">
        <v>15476</v>
      </c>
      <c r="D60" s="44">
        <f>A60-B60</f>
        <v>260</v>
      </c>
    </row>
    <row r="61" spans="1:4" x14ac:dyDescent="0.3">
      <c r="A61" s="21">
        <v>1409</v>
      </c>
      <c r="B61" s="21">
        <v>309</v>
      </c>
      <c r="C61" s="21">
        <v>10217</v>
      </c>
      <c r="D61" s="44">
        <f>A61-B61</f>
        <v>1100</v>
      </c>
    </row>
    <row r="62" spans="1:4" x14ac:dyDescent="0.3">
      <c r="A62" s="21">
        <v>778</v>
      </c>
      <c r="B62" s="21">
        <v>401</v>
      </c>
      <c r="C62" s="21">
        <v>21939</v>
      </c>
      <c r="D62" s="44">
        <f>A62-B62</f>
        <v>377</v>
      </c>
    </row>
    <row r="63" spans="1:4" x14ac:dyDescent="0.3">
      <c r="A63" s="21">
        <v>443</v>
      </c>
      <c r="B63" s="21">
        <v>345</v>
      </c>
      <c r="C63" s="21">
        <v>47462</v>
      </c>
      <c r="D63" s="44">
        <f>A63-B63</f>
        <v>98</v>
      </c>
    </row>
    <row r="64" spans="1:4" x14ac:dyDescent="0.3">
      <c r="A64" s="21">
        <v>1472</v>
      </c>
      <c r="B64" s="21">
        <v>347</v>
      </c>
      <c r="C64" s="21">
        <v>30270</v>
      </c>
      <c r="D64" s="44">
        <f>A64-B64</f>
        <v>1125</v>
      </c>
    </row>
    <row r="65" spans="1:4" x14ac:dyDescent="0.3">
      <c r="A65" s="21">
        <v>123</v>
      </c>
      <c r="B65" s="21">
        <v>155</v>
      </c>
      <c r="C65" s="21">
        <v>5442</v>
      </c>
      <c r="D65" s="44">
        <f>A65-B65</f>
        <v>-32</v>
      </c>
    </row>
    <row r="66" spans="1:4" x14ac:dyDescent="0.3">
      <c r="A66" s="21">
        <v>817</v>
      </c>
      <c r="B66" s="21">
        <v>151</v>
      </c>
      <c r="C66" s="21">
        <v>1083</v>
      </c>
      <c r="D66" s="44">
        <f>A66-B66</f>
        <v>666</v>
      </c>
    </row>
    <row r="67" spans="1:4" x14ac:dyDescent="0.3">
      <c r="A67" s="21">
        <v>198</v>
      </c>
      <c r="B67" s="21">
        <v>217</v>
      </c>
      <c r="C67" s="21">
        <v>11901</v>
      </c>
      <c r="D67" s="44">
        <f>A67-B67</f>
        <v>-19</v>
      </c>
    </row>
    <row r="68" spans="1:4" x14ac:dyDescent="0.3">
      <c r="A68" s="21">
        <v>1911</v>
      </c>
      <c r="B68" s="21">
        <v>231</v>
      </c>
      <c r="C68" s="21">
        <v>24018</v>
      </c>
      <c r="D68" s="44">
        <f>A68-B68</f>
        <v>1680</v>
      </c>
    </row>
    <row r="69" spans="1:4" x14ac:dyDescent="0.3">
      <c r="A69" s="21">
        <v>1218</v>
      </c>
      <c r="B69" s="21">
        <v>212</v>
      </c>
      <c r="C69" s="21">
        <v>38883</v>
      </c>
      <c r="D69" s="44">
        <f>A69-B69</f>
        <v>1006</v>
      </c>
    </row>
    <row r="70" spans="1:4" x14ac:dyDescent="0.3">
      <c r="A70" s="21">
        <v>1433</v>
      </c>
      <c r="B70" s="21">
        <v>408</v>
      </c>
      <c r="C70" s="21">
        <v>30575</v>
      </c>
      <c r="D70" s="44">
        <f>A70-B70</f>
        <v>1025</v>
      </c>
    </row>
    <row r="71" spans="1:4" x14ac:dyDescent="0.3">
      <c r="A71" s="21">
        <v>250</v>
      </c>
      <c r="B71" s="21">
        <v>429</v>
      </c>
      <c r="C71" s="21">
        <v>2315</v>
      </c>
      <c r="D71" s="44">
        <f>A71-B71</f>
        <v>-179</v>
      </c>
    </row>
    <row r="72" spans="1:4" x14ac:dyDescent="0.3">
      <c r="A72" s="21">
        <v>752</v>
      </c>
      <c r="B72" s="21">
        <v>153</v>
      </c>
      <c r="C72" s="21">
        <v>12148</v>
      </c>
      <c r="D72" s="44">
        <f>A72-B72</f>
        <v>599</v>
      </c>
    </row>
    <row r="73" spans="1:4" x14ac:dyDescent="0.3">
      <c r="A73" s="21">
        <v>1918</v>
      </c>
      <c r="B73" s="21">
        <v>212</v>
      </c>
      <c r="C73" s="21">
        <v>36851</v>
      </c>
      <c r="D73" s="44">
        <f>A73-B73</f>
        <v>1706</v>
      </c>
    </row>
    <row r="74" spans="1:4" x14ac:dyDescent="0.3">
      <c r="A74" s="21">
        <v>1939</v>
      </c>
      <c r="B74" s="21">
        <v>67</v>
      </c>
      <c r="C74" s="21">
        <v>41215</v>
      </c>
      <c r="D74" s="44">
        <f>A74-B74</f>
        <v>1872</v>
      </c>
    </row>
    <row r="75" spans="1:4" x14ac:dyDescent="0.3">
      <c r="A75" s="21">
        <v>1929</v>
      </c>
      <c r="B75" s="21">
        <v>267</v>
      </c>
      <c r="C75" s="21">
        <v>43836</v>
      </c>
      <c r="D75" s="44">
        <f>A75-B75</f>
        <v>1662</v>
      </c>
    </row>
    <row r="76" spans="1:4" x14ac:dyDescent="0.3">
      <c r="A76" s="21">
        <v>437</v>
      </c>
      <c r="B76" s="21">
        <v>330</v>
      </c>
      <c r="C76" s="21">
        <v>4509</v>
      </c>
      <c r="D76" s="44">
        <f>A76-B76</f>
        <v>107</v>
      </c>
    </row>
    <row r="77" spans="1:4" x14ac:dyDescent="0.3">
      <c r="A77" s="21">
        <v>307</v>
      </c>
      <c r="B77" s="21">
        <v>189</v>
      </c>
      <c r="C77" s="21">
        <v>27822</v>
      </c>
      <c r="D77" s="44">
        <f>A77-B77</f>
        <v>118</v>
      </c>
    </row>
    <row r="78" spans="1:4" x14ac:dyDescent="0.3">
      <c r="A78" s="21">
        <v>1527</v>
      </c>
      <c r="B78" s="21">
        <v>303</v>
      </c>
      <c r="C78" s="21">
        <v>36397</v>
      </c>
      <c r="D78" s="44">
        <f>A78-B78</f>
        <v>1224</v>
      </c>
    </row>
    <row r="79" spans="1:4" x14ac:dyDescent="0.3">
      <c r="A79" s="21">
        <v>643</v>
      </c>
      <c r="B79" s="21">
        <v>358</v>
      </c>
      <c r="C79" s="21">
        <v>7285</v>
      </c>
      <c r="D79" s="44">
        <f>A79-B79</f>
        <v>285</v>
      </c>
    </row>
    <row r="80" spans="1:4" x14ac:dyDescent="0.3">
      <c r="A80" s="21">
        <v>201</v>
      </c>
      <c r="B80" s="21">
        <v>221</v>
      </c>
      <c r="C80" s="21">
        <v>33174</v>
      </c>
      <c r="D80" s="44">
        <f>A80-B80</f>
        <v>-20</v>
      </c>
    </row>
    <row r="81" spans="1:4" x14ac:dyDescent="0.3">
      <c r="A81" s="21">
        <v>414</v>
      </c>
      <c r="B81" s="21">
        <v>47</v>
      </c>
      <c r="C81" s="21">
        <v>6742</v>
      </c>
      <c r="D81" s="44">
        <f>A81-B81</f>
        <v>367</v>
      </c>
    </row>
    <row r="82" spans="1:4" x14ac:dyDescent="0.3">
      <c r="A82" s="21">
        <v>703</v>
      </c>
      <c r="B82" s="21">
        <v>441</v>
      </c>
      <c r="C82" s="21">
        <v>32478</v>
      </c>
      <c r="D82" s="44">
        <f>A82-B82</f>
        <v>262</v>
      </c>
    </row>
    <row r="83" spans="1:4" x14ac:dyDescent="0.3">
      <c r="A83" s="21">
        <v>508</v>
      </c>
      <c r="B83" s="21">
        <v>69</v>
      </c>
      <c r="C83" s="21">
        <v>42824</v>
      </c>
      <c r="D83" s="44">
        <f>A83-B83</f>
        <v>439</v>
      </c>
    </row>
    <row r="84" spans="1:4" x14ac:dyDescent="0.3">
      <c r="A84" s="21">
        <v>697</v>
      </c>
      <c r="B84" s="21">
        <v>61</v>
      </c>
      <c r="C84" s="21">
        <v>21208</v>
      </c>
      <c r="D84" s="44">
        <f>A84-B84</f>
        <v>636</v>
      </c>
    </row>
    <row r="85" spans="1:4" x14ac:dyDescent="0.3">
      <c r="A85" s="21">
        <v>1707</v>
      </c>
      <c r="B85" s="21">
        <v>223</v>
      </c>
      <c r="C85" s="21">
        <v>44321</v>
      </c>
      <c r="D85" s="44">
        <f>A85-B85</f>
        <v>1484</v>
      </c>
    </row>
    <row r="86" spans="1:4" x14ac:dyDescent="0.3">
      <c r="A86" s="21">
        <v>642</v>
      </c>
      <c r="B86" s="21">
        <v>66</v>
      </c>
      <c r="C86" s="21">
        <v>13116</v>
      </c>
      <c r="D86" s="44">
        <f>A86-B86</f>
        <v>576</v>
      </c>
    </row>
    <row r="87" spans="1:4" x14ac:dyDescent="0.3">
      <c r="A87" s="21">
        <v>859</v>
      </c>
      <c r="B87" s="21">
        <v>473</v>
      </c>
      <c r="C87" s="21">
        <v>30214</v>
      </c>
      <c r="D87" s="44">
        <f>A87-B87</f>
        <v>386</v>
      </c>
    </row>
    <row r="88" spans="1:4" x14ac:dyDescent="0.3">
      <c r="A88" s="21">
        <v>191</v>
      </c>
      <c r="B88" s="21">
        <v>154</v>
      </c>
      <c r="C88" s="21">
        <v>15827</v>
      </c>
      <c r="D88" s="44">
        <f>A88-B88</f>
        <v>37</v>
      </c>
    </row>
    <row r="89" spans="1:4" x14ac:dyDescent="0.3">
      <c r="A89" s="21">
        <v>1814</v>
      </c>
      <c r="B89" s="21">
        <v>157</v>
      </c>
      <c r="C89" s="21">
        <v>46643</v>
      </c>
      <c r="D89" s="44">
        <f>A89-B89</f>
        <v>1657</v>
      </c>
    </row>
    <row r="90" spans="1:4" x14ac:dyDescent="0.3">
      <c r="A90" s="21">
        <v>1466</v>
      </c>
      <c r="B90" s="21">
        <v>69</v>
      </c>
      <c r="C90" s="21">
        <v>36484</v>
      </c>
      <c r="D90" s="44">
        <f>A90-B90</f>
        <v>1397</v>
      </c>
    </row>
    <row r="91" spans="1:4" x14ac:dyDescent="0.3">
      <c r="A91" s="21">
        <v>947</v>
      </c>
      <c r="B91" s="21">
        <v>407</v>
      </c>
      <c r="C91" s="21">
        <v>4996</v>
      </c>
      <c r="D91" s="44">
        <f>A91-B91</f>
        <v>540</v>
      </c>
    </row>
    <row r="92" spans="1:4" x14ac:dyDescent="0.3">
      <c r="A92" s="21">
        <v>1821</v>
      </c>
      <c r="B92" s="21">
        <v>218</v>
      </c>
      <c r="C92" s="21">
        <v>36095</v>
      </c>
      <c r="D92" s="44">
        <f>A92-B92</f>
        <v>1603</v>
      </c>
    </row>
    <row r="93" spans="1:4" x14ac:dyDescent="0.3">
      <c r="A93" s="21">
        <v>1507</v>
      </c>
      <c r="B93" s="21">
        <v>463</v>
      </c>
      <c r="C93" s="21">
        <v>16443</v>
      </c>
      <c r="D93" s="44">
        <f>A93-B93</f>
        <v>1044</v>
      </c>
    </row>
    <row r="94" spans="1:4" x14ac:dyDescent="0.3">
      <c r="A94" s="21">
        <v>1075</v>
      </c>
      <c r="B94" s="21">
        <v>173</v>
      </c>
      <c r="C94" s="21">
        <v>47812</v>
      </c>
      <c r="D94" s="44">
        <f>A94-B94</f>
        <v>902</v>
      </c>
    </row>
    <row r="95" spans="1:4" x14ac:dyDescent="0.3">
      <c r="A95" s="21">
        <v>171</v>
      </c>
      <c r="B95" s="21">
        <v>277</v>
      </c>
      <c r="C95" s="21">
        <v>38452</v>
      </c>
      <c r="D95" s="44">
        <f>A95-B95</f>
        <v>-106</v>
      </c>
    </row>
    <row r="96" spans="1:4" x14ac:dyDescent="0.3">
      <c r="A96" s="21">
        <v>1487</v>
      </c>
      <c r="B96" s="21">
        <v>337</v>
      </c>
      <c r="C96" s="21">
        <v>30428</v>
      </c>
      <c r="D96" s="44">
        <f>A96-B96</f>
        <v>1150</v>
      </c>
    </row>
    <row r="97" spans="1:4" x14ac:dyDescent="0.3">
      <c r="A97" s="21">
        <v>454</v>
      </c>
      <c r="B97" s="21">
        <v>105</v>
      </c>
      <c r="C97" s="21">
        <v>9269</v>
      </c>
      <c r="D97" s="44">
        <f>A97-B97</f>
        <v>349</v>
      </c>
    </row>
    <row r="98" spans="1:4" x14ac:dyDescent="0.3">
      <c r="A98" s="21">
        <v>187</v>
      </c>
      <c r="B98" s="21">
        <v>236</v>
      </c>
      <c r="C98" s="21">
        <v>29533</v>
      </c>
      <c r="D98" s="44">
        <f>A98-B98</f>
        <v>-49</v>
      </c>
    </row>
    <row r="99" spans="1:4" x14ac:dyDescent="0.3">
      <c r="A99" s="21">
        <v>513</v>
      </c>
      <c r="B99" s="21">
        <v>441</v>
      </c>
      <c r="C99" s="21">
        <v>39997</v>
      </c>
      <c r="D99" s="44">
        <f>A99-B99</f>
        <v>72</v>
      </c>
    </row>
    <row r="100" spans="1:4" x14ac:dyDescent="0.3">
      <c r="A100" s="21">
        <v>628</v>
      </c>
      <c r="B100" s="21">
        <v>183</v>
      </c>
      <c r="C100" s="21">
        <v>5391</v>
      </c>
      <c r="D100" s="44">
        <f>A100-B100</f>
        <v>445</v>
      </c>
    </row>
    <row r="101" spans="1:4" x14ac:dyDescent="0.3">
      <c r="A101" s="21">
        <v>278</v>
      </c>
      <c r="B101" s="21">
        <v>218</v>
      </c>
      <c r="C101" s="21">
        <v>22373</v>
      </c>
      <c r="D101" s="44">
        <f>A101-B101</f>
        <v>60</v>
      </c>
    </row>
    <row r="102" spans="1:4" x14ac:dyDescent="0.3">
      <c r="A102" s="21">
        <v>1854</v>
      </c>
      <c r="B102" s="21">
        <v>161</v>
      </c>
      <c r="C102" s="21">
        <v>1810</v>
      </c>
      <c r="D102" s="44">
        <f>A102-B102</f>
        <v>1693</v>
      </c>
    </row>
    <row r="103" spans="1:4" x14ac:dyDescent="0.3">
      <c r="A103" s="21">
        <v>1710</v>
      </c>
      <c r="B103" s="21">
        <v>378</v>
      </c>
      <c r="C103" s="21">
        <v>28498</v>
      </c>
      <c r="D103" s="44">
        <f>A103-B103</f>
        <v>1332</v>
      </c>
    </row>
    <row r="104" spans="1:4" x14ac:dyDescent="0.3">
      <c r="A104" s="21">
        <v>330</v>
      </c>
      <c r="B104" s="21">
        <v>232</v>
      </c>
      <c r="C104" s="21">
        <v>39530</v>
      </c>
      <c r="D104" s="44">
        <f>A104-B104</f>
        <v>98</v>
      </c>
    </row>
    <row r="105" spans="1:4" x14ac:dyDescent="0.3">
      <c r="A105" s="21">
        <v>1293</v>
      </c>
      <c r="B105" s="21">
        <v>408</v>
      </c>
      <c r="C105" s="21">
        <v>37876</v>
      </c>
      <c r="D105" s="44">
        <f>A105-B105</f>
        <v>885</v>
      </c>
    </row>
    <row r="106" spans="1:4" x14ac:dyDescent="0.3">
      <c r="A106" s="21">
        <v>1696</v>
      </c>
      <c r="B106" s="21">
        <v>71</v>
      </c>
      <c r="C106" s="21">
        <v>36103</v>
      </c>
      <c r="D106" s="44">
        <f>A106-B106</f>
        <v>1625</v>
      </c>
    </row>
    <row r="107" spans="1:4" x14ac:dyDescent="0.3">
      <c r="A107" s="21">
        <v>1902</v>
      </c>
      <c r="B107" s="21">
        <v>196</v>
      </c>
      <c r="C107" s="21">
        <v>26103</v>
      </c>
      <c r="D107" s="44">
        <f>A107-B107</f>
        <v>1706</v>
      </c>
    </row>
    <row r="108" spans="1:4" x14ac:dyDescent="0.3">
      <c r="A108" s="21">
        <v>1441</v>
      </c>
      <c r="B108" s="21">
        <v>268</v>
      </c>
      <c r="C108" s="21">
        <v>3455</v>
      </c>
      <c r="D108" s="44">
        <f>A108-B108</f>
        <v>1173</v>
      </c>
    </row>
    <row r="109" spans="1:4" x14ac:dyDescent="0.3">
      <c r="A109" s="21">
        <v>452</v>
      </c>
      <c r="B109" s="21">
        <v>161</v>
      </c>
      <c r="C109" s="21">
        <v>40888</v>
      </c>
      <c r="D109" s="44">
        <f>A109-B109</f>
        <v>291</v>
      </c>
    </row>
    <row r="110" spans="1:4" x14ac:dyDescent="0.3">
      <c r="A110" s="21">
        <v>1494</v>
      </c>
      <c r="B110" s="21">
        <v>375</v>
      </c>
      <c r="C110" s="21">
        <v>22724</v>
      </c>
      <c r="D110" s="44">
        <f>A110-B110</f>
        <v>1119</v>
      </c>
    </row>
    <row r="111" spans="1:4" x14ac:dyDescent="0.3">
      <c r="A111" s="21">
        <v>1514</v>
      </c>
      <c r="B111" s="21">
        <v>141</v>
      </c>
      <c r="C111" s="21">
        <v>18601</v>
      </c>
      <c r="D111" s="44">
        <f>A111-B111</f>
        <v>1373</v>
      </c>
    </row>
    <row r="112" spans="1:4" x14ac:dyDescent="0.3">
      <c r="A112" s="21">
        <v>1937</v>
      </c>
      <c r="B112" s="21">
        <v>210</v>
      </c>
      <c r="C112" s="21">
        <v>20861</v>
      </c>
      <c r="D112" s="44">
        <f>A112-B112</f>
        <v>1727</v>
      </c>
    </row>
    <row r="113" spans="1:4" x14ac:dyDescent="0.3">
      <c r="A113" s="21">
        <v>736</v>
      </c>
      <c r="B113" s="21">
        <v>163</v>
      </c>
      <c r="C113" s="21">
        <v>46625</v>
      </c>
      <c r="D113" s="44">
        <f>A113-B113</f>
        <v>573</v>
      </c>
    </row>
    <row r="114" spans="1:4" x14ac:dyDescent="0.3">
      <c r="A114" s="21">
        <v>1502</v>
      </c>
      <c r="B114" s="21">
        <v>70</v>
      </c>
      <c r="C114" s="21">
        <v>20692</v>
      </c>
      <c r="D114" s="44">
        <f>A114-B114</f>
        <v>1432</v>
      </c>
    </row>
    <row r="115" spans="1:4" x14ac:dyDescent="0.3">
      <c r="A115" s="21">
        <v>1623</v>
      </c>
      <c r="B115" s="21">
        <v>246</v>
      </c>
      <c r="C115" s="21">
        <v>18656</v>
      </c>
      <c r="D115" s="44">
        <f>A115-B115</f>
        <v>1377</v>
      </c>
    </row>
    <row r="116" spans="1:4" x14ac:dyDescent="0.3">
      <c r="A116" s="21">
        <v>1592</v>
      </c>
      <c r="B116" s="21">
        <v>233</v>
      </c>
      <c r="C116" s="21">
        <v>13316</v>
      </c>
      <c r="D116" s="44">
        <f>A116-B116</f>
        <v>1359</v>
      </c>
    </row>
    <row r="117" spans="1:4" x14ac:dyDescent="0.3">
      <c r="A117" s="21">
        <v>1004</v>
      </c>
      <c r="B117" s="21">
        <v>128</v>
      </c>
      <c r="C117" s="21">
        <v>49558</v>
      </c>
      <c r="D117" s="44">
        <f>A117-B117</f>
        <v>876</v>
      </c>
    </row>
    <row r="118" spans="1:4" x14ac:dyDescent="0.3">
      <c r="A118" s="21">
        <v>1092</v>
      </c>
      <c r="B118" s="21">
        <v>408</v>
      </c>
      <c r="C118" s="21">
        <v>4683</v>
      </c>
      <c r="D118" s="44">
        <f>A118-B118</f>
        <v>684</v>
      </c>
    </row>
    <row r="119" spans="1:4" x14ac:dyDescent="0.3">
      <c r="A119" s="21">
        <v>1155</v>
      </c>
      <c r="B119" s="21">
        <v>425</v>
      </c>
      <c r="C119" s="21">
        <v>47502</v>
      </c>
      <c r="D119" s="44">
        <f>A119-B119</f>
        <v>730</v>
      </c>
    </row>
    <row r="120" spans="1:4" x14ac:dyDescent="0.3">
      <c r="A120" s="21">
        <v>1137</v>
      </c>
      <c r="B120" s="21">
        <v>226</v>
      </c>
      <c r="C120" s="21">
        <v>35359</v>
      </c>
      <c r="D120" s="44">
        <f>A120-B120</f>
        <v>911</v>
      </c>
    </row>
    <row r="121" spans="1:4" x14ac:dyDescent="0.3">
      <c r="A121" s="21">
        <v>1900</v>
      </c>
      <c r="B121" s="21">
        <v>311</v>
      </c>
      <c r="C121" s="21">
        <v>14154</v>
      </c>
      <c r="D121" s="44">
        <f>A121-B121</f>
        <v>1589</v>
      </c>
    </row>
    <row r="122" spans="1:4" x14ac:dyDescent="0.3">
      <c r="A122" s="21">
        <v>1814</v>
      </c>
      <c r="B122" s="21">
        <v>49</v>
      </c>
      <c r="C122" s="21">
        <v>4313</v>
      </c>
      <c r="D122" s="44">
        <f>A122-B122</f>
        <v>1765</v>
      </c>
    </row>
    <row r="123" spans="1:4" x14ac:dyDescent="0.3">
      <c r="A123" s="21">
        <v>1980</v>
      </c>
      <c r="B123" s="21">
        <v>204</v>
      </c>
      <c r="C123" s="21">
        <v>25140</v>
      </c>
      <c r="D123" s="44">
        <f>A123-B123</f>
        <v>1776</v>
      </c>
    </row>
    <row r="124" spans="1:4" x14ac:dyDescent="0.3">
      <c r="A124" s="21">
        <v>1786</v>
      </c>
      <c r="B124" s="21">
        <v>257</v>
      </c>
      <c r="C124" s="21">
        <v>9118</v>
      </c>
      <c r="D124" s="44">
        <f>A124-B124</f>
        <v>1529</v>
      </c>
    </row>
    <row r="125" spans="1:4" x14ac:dyDescent="0.3">
      <c r="A125" s="21">
        <v>1495</v>
      </c>
      <c r="B125" s="21">
        <v>35</v>
      </c>
      <c r="C125" s="21">
        <v>39931</v>
      </c>
      <c r="D125" s="44">
        <f>A125-B125</f>
        <v>1460</v>
      </c>
    </row>
    <row r="126" spans="1:4" x14ac:dyDescent="0.3">
      <c r="A126" s="21">
        <v>1013</v>
      </c>
      <c r="B126" s="21">
        <v>110</v>
      </c>
      <c r="C126" s="21">
        <v>37132</v>
      </c>
      <c r="D126" s="44">
        <f>A126-B126</f>
        <v>903</v>
      </c>
    </row>
    <row r="127" spans="1:4" x14ac:dyDescent="0.3">
      <c r="A127" s="21">
        <v>816</v>
      </c>
      <c r="B127" s="21">
        <v>196</v>
      </c>
      <c r="C127" s="21">
        <v>17951</v>
      </c>
      <c r="D127" s="44">
        <f>A127-B127</f>
        <v>620</v>
      </c>
    </row>
    <row r="128" spans="1:4" x14ac:dyDescent="0.3">
      <c r="A128" s="21">
        <v>1633</v>
      </c>
      <c r="B128" s="21">
        <v>445</v>
      </c>
      <c r="C128" s="21">
        <v>2798</v>
      </c>
      <c r="D128" s="44">
        <f>A128-B128</f>
        <v>1188</v>
      </c>
    </row>
    <row r="129" spans="1:4" x14ac:dyDescent="0.3">
      <c r="A129" s="21">
        <v>891</v>
      </c>
      <c r="B129" s="21">
        <v>45</v>
      </c>
      <c r="C129" s="21">
        <v>15045</v>
      </c>
      <c r="D129" s="44">
        <f>A129-B129</f>
        <v>846</v>
      </c>
    </row>
    <row r="130" spans="1:4" x14ac:dyDescent="0.3">
      <c r="A130" s="21">
        <v>1855</v>
      </c>
      <c r="B130" s="21">
        <v>133</v>
      </c>
      <c r="C130" s="21">
        <v>14548</v>
      </c>
      <c r="D130" s="44">
        <f>A130-B130</f>
        <v>1722</v>
      </c>
    </row>
    <row r="131" spans="1:4" x14ac:dyDescent="0.3">
      <c r="A131" s="21">
        <v>651</v>
      </c>
      <c r="B131" s="21">
        <v>353</v>
      </c>
      <c r="C131" s="21">
        <v>45708</v>
      </c>
      <c r="D131" s="44">
        <f>A131-B131</f>
        <v>298</v>
      </c>
    </row>
    <row r="132" spans="1:4" x14ac:dyDescent="0.3">
      <c r="A132" s="21">
        <v>118</v>
      </c>
      <c r="B132" s="21">
        <v>262</v>
      </c>
      <c r="C132" s="21">
        <v>12350</v>
      </c>
      <c r="D132" s="44">
        <f>A132-B132</f>
        <v>-144</v>
      </c>
    </row>
    <row r="133" spans="1:4" x14ac:dyDescent="0.3">
      <c r="A133" s="21">
        <v>1331</v>
      </c>
      <c r="B133" s="21">
        <v>430</v>
      </c>
      <c r="C133" s="21">
        <v>40868</v>
      </c>
      <c r="D133" s="44">
        <f>A133-B133</f>
        <v>901</v>
      </c>
    </row>
    <row r="134" spans="1:4" x14ac:dyDescent="0.3">
      <c r="A134" s="21">
        <v>1748</v>
      </c>
      <c r="B134" s="21">
        <v>176</v>
      </c>
      <c r="C134" s="21">
        <v>43122</v>
      </c>
      <c r="D134" s="44">
        <f>A134-B134</f>
        <v>1572</v>
      </c>
    </row>
    <row r="135" spans="1:4" x14ac:dyDescent="0.3">
      <c r="A135" s="21">
        <v>663</v>
      </c>
      <c r="B135" s="21">
        <v>236</v>
      </c>
      <c r="C135" s="21">
        <v>23853</v>
      </c>
      <c r="D135" s="44">
        <f>A135-B135</f>
        <v>427</v>
      </c>
    </row>
    <row r="136" spans="1:4" x14ac:dyDescent="0.3">
      <c r="A136" s="21">
        <v>1040</v>
      </c>
      <c r="B136" s="21">
        <v>149</v>
      </c>
      <c r="C136" s="21">
        <v>45380</v>
      </c>
      <c r="D136" s="44">
        <f>A136-B136</f>
        <v>891</v>
      </c>
    </row>
    <row r="137" spans="1:4" x14ac:dyDescent="0.3">
      <c r="A137" s="21">
        <v>1166</v>
      </c>
      <c r="B137" s="21">
        <v>442</v>
      </c>
      <c r="C137" s="21">
        <v>7705</v>
      </c>
      <c r="D137" s="44">
        <f>A137-B137</f>
        <v>724</v>
      </c>
    </row>
    <row r="138" spans="1:4" x14ac:dyDescent="0.3">
      <c r="A138" s="21">
        <v>115</v>
      </c>
      <c r="B138" s="21">
        <v>281</v>
      </c>
      <c r="C138" s="21">
        <v>25525</v>
      </c>
      <c r="D138" s="44">
        <f>A138-B138</f>
        <v>-166</v>
      </c>
    </row>
    <row r="139" spans="1:4" x14ac:dyDescent="0.3">
      <c r="A139" s="21">
        <v>1249</v>
      </c>
      <c r="B139" s="21">
        <v>351</v>
      </c>
      <c r="C139" s="21">
        <v>20560</v>
      </c>
      <c r="D139" s="44">
        <f>A139-B139</f>
        <v>898</v>
      </c>
    </row>
    <row r="140" spans="1:4" x14ac:dyDescent="0.3">
      <c r="A140" s="21">
        <v>1501</v>
      </c>
      <c r="B140" s="21">
        <v>75</v>
      </c>
      <c r="C140" s="21">
        <v>19119</v>
      </c>
      <c r="D140" s="44">
        <f>A140-B140</f>
        <v>1426</v>
      </c>
    </row>
    <row r="141" spans="1:4" x14ac:dyDescent="0.3">
      <c r="A141" s="21">
        <v>1411</v>
      </c>
      <c r="B141" s="21">
        <v>186</v>
      </c>
      <c r="C141" s="21">
        <v>43999</v>
      </c>
      <c r="D141" s="44">
        <f>A141-B141</f>
        <v>1225</v>
      </c>
    </row>
    <row r="142" spans="1:4" x14ac:dyDescent="0.3">
      <c r="A142" s="21">
        <v>1556</v>
      </c>
      <c r="B142" s="21">
        <v>476</v>
      </c>
      <c r="C142" s="21">
        <v>10825</v>
      </c>
      <c r="D142" s="44">
        <f>A142-B142</f>
        <v>1080</v>
      </c>
    </row>
    <row r="143" spans="1:4" x14ac:dyDescent="0.3">
      <c r="A143" s="21">
        <v>1159</v>
      </c>
      <c r="B143" s="21">
        <v>411</v>
      </c>
      <c r="C143" s="21">
        <v>40323</v>
      </c>
      <c r="D143" s="44">
        <f>A143-B143</f>
        <v>748</v>
      </c>
    </row>
    <row r="144" spans="1:4" x14ac:dyDescent="0.3">
      <c r="A144" s="21">
        <v>927</v>
      </c>
      <c r="B144" s="21">
        <v>358</v>
      </c>
      <c r="C144" s="21">
        <v>48270</v>
      </c>
      <c r="D144" s="44">
        <f>A144-B144</f>
        <v>569</v>
      </c>
    </row>
    <row r="145" spans="1:4" x14ac:dyDescent="0.3">
      <c r="A145" s="21">
        <v>152</v>
      </c>
      <c r="B145" s="21">
        <v>355</v>
      </c>
      <c r="C145" s="21">
        <v>18001</v>
      </c>
      <c r="D145" s="44">
        <f>A145-B145</f>
        <v>-203</v>
      </c>
    </row>
    <row r="146" spans="1:4" x14ac:dyDescent="0.3">
      <c r="A146" s="21">
        <v>1957</v>
      </c>
      <c r="B146" s="21">
        <v>234</v>
      </c>
      <c r="C146" s="21">
        <v>3314</v>
      </c>
      <c r="D146" s="44">
        <f>A146-B146</f>
        <v>1723</v>
      </c>
    </row>
    <row r="147" spans="1:4" x14ac:dyDescent="0.3">
      <c r="A147" s="21">
        <v>1294</v>
      </c>
      <c r="B147" s="21">
        <v>382</v>
      </c>
      <c r="C147" s="21">
        <v>23489</v>
      </c>
      <c r="D147" s="44">
        <f>A147-B147</f>
        <v>912</v>
      </c>
    </row>
    <row r="148" spans="1:4" x14ac:dyDescent="0.3">
      <c r="A148" s="21">
        <v>1587</v>
      </c>
      <c r="B148" s="21">
        <v>385</v>
      </c>
      <c r="C148" s="21">
        <v>42832</v>
      </c>
      <c r="D148" s="44">
        <f>A148-B148</f>
        <v>1202</v>
      </c>
    </row>
    <row r="149" spans="1:4" x14ac:dyDescent="0.3">
      <c r="A149" s="21">
        <v>1707</v>
      </c>
      <c r="B149" s="21">
        <v>263</v>
      </c>
      <c r="C149" s="21">
        <v>24494</v>
      </c>
      <c r="D149" s="44">
        <f>A149-B149</f>
        <v>1444</v>
      </c>
    </row>
    <row r="150" spans="1:4" x14ac:dyDescent="0.3">
      <c r="A150" s="21">
        <v>1138</v>
      </c>
      <c r="B150" s="21">
        <v>173</v>
      </c>
      <c r="C150" s="21">
        <v>44097</v>
      </c>
      <c r="D150" s="44">
        <f>A150-B150</f>
        <v>965</v>
      </c>
    </row>
    <row r="151" spans="1:4" x14ac:dyDescent="0.3">
      <c r="A151" s="21">
        <v>1895</v>
      </c>
      <c r="B151" s="21">
        <v>305</v>
      </c>
      <c r="C151" s="21">
        <v>31853</v>
      </c>
      <c r="D151" s="44">
        <f>A151-B151</f>
        <v>1590</v>
      </c>
    </row>
    <row r="152" spans="1:4" x14ac:dyDescent="0.3">
      <c r="A152" s="21">
        <v>362</v>
      </c>
      <c r="B152" s="21">
        <v>399</v>
      </c>
      <c r="C152" s="21">
        <v>37636</v>
      </c>
      <c r="D152" s="44">
        <f>A152-B152</f>
        <v>-37</v>
      </c>
    </row>
    <row r="153" spans="1:4" x14ac:dyDescent="0.3">
      <c r="A153" s="21">
        <v>1662</v>
      </c>
      <c r="B153" s="21">
        <v>487</v>
      </c>
      <c r="C153" s="21">
        <v>22996</v>
      </c>
      <c r="D153" s="44">
        <f>A153-B153</f>
        <v>1175</v>
      </c>
    </row>
    <row r="154" spans="1:4" x14ac:dyDescent="0.3">
      <c r="A154" s="21">
        <v>1440</v>
      </c>
      <c r="B154" s="21">
        <v>65</v>
      </c>
      <c r="C154" s="21">
        <v>49772</v>
      </c>
      <c r="D154" s="44">
        <f>A154-B154</f>
        <v>1375</v>
      </c>
    </row>
    <row r="155" spans="1:4" x14ac:dyDescent="0.3">
      <c r="A155" s="21">
        <v>1884</v>
      </c>
      <c r="B155" s="21">
        <v>177</v>
      </c>
      <c r="C155" s="21">
        <v>22713</v>
      </c>
      <c r="D155" s="44">
        <f>A155-B155</f>
        <v>1707</v>
      </c>
    </row>
    <row r="156" spans="1:4" x14ac:dyDescent="0.3">
      <c r="A156" s="21">
        <v>861</v>
      </c>
      <c r="B156" s="21">
        <v>153</v>
      </c>
      <c r="C156" s="21">
        <v>8718</v>
      </c>
      <c r="D156" s="44">
        <f>A156-B156</f>
        <v>708</v>
      </c>
    </row>
    <row r="157" spans="1:4" x14ac:dyDescent="0.3">
      <c r="A157" s="21">
        <v>1063</v>
      </c>
      <c r="B157" s="21">
        <v>47</v>
      </c>
      <c r="C157" s="21">
        <v>39031</v>
      </c>
      <c r="D157" s="44">
        <f>A157-B157</f>
        <v>1016</v>
      </c>
    </row>
    <row r="158" spans="1:4" x14ac:dyDescent="0.3">
      <c r="A158" s="21">
        <v>1371</v>
      </c>
      <c r="B158" s="21">
        <v>56</v>
      </c>
      <c r="C158" s="21">
        <v>33799</v>
      </c>
      <c r="D158" s="44">
        <f>A158-B158</f>
        <v>1315</v>
      </c>
    </row>
    <row r="159" spans="1:4" x14ac:dyDescent="0.3">
      <c r="A159" s="21">
        <v>345</v>
      </c>
      <c r="B159" s="21">
        <v>464</v>
      </c>
      <c r="C159" s="21">
        <v>20553</v>
      </c>
      <c r="D159" s="44">
        <f>A159-B159</f>
        <v>-119</v>
      </c>
    </row>
    <row r="160" spans="1:4" x14ac:dyDescent="0.3">
      <c r="A160" s="21">
        <v>946</v>
      </c>
      <c r="B160" s="21">
        <v>47</v>
      </c>
      <c r="C160" s="21">
        <v>10002</v>
      </c>
      <c r="D160" s="44">
        <f>A160-B160</f>
        <v>899</v>
      </c>
    </row>
    <row r="161" spans="1:4" x14ac:dyDescent="0.3">
      <c r="A161" s="21">
        <v>510</v>
      </c>
      <c r="B161" s="21">
        <v>195</v>
      </c>
      <c r="C161" s="21">
        <v>30987</v>
      </c>
      <c r="D161" s="44">
        <f>A161-B161</f>
        <v>315</v>
      </c>
    </row>
    <row r="162" spans="1:4" x14ac:dyDescent="0.3">
      <c r="A162" s="21">
        <v>393</v>
      </c>
      <c r="B162" s="21">
        <v>181</v>
      </c>
      <c r="C162" s="21">
        <v>6296</v>
      </c>
      <c r="D162" s="44">
        <f>A162-B162</f>
        <v>212</v>
      </c>
    </row>
    <row r="163" spans="1:4" x14ac:dyDescent="0.3">
      <c r="A163" s="21">
        <v>1098</v>
      </c>
      <c r="B163" s="21">
        <v>190</v>
      </c>
      <c r="C163" s="21">
        <v>21539</v>
      </c>
      <c r="D163" s="44">
        <f>A163-B163</f>
        <v>908</v>
      </c>
    </row>
    <row r="164" spans="1:4" x14ac:dyDescent="0.3">
      <c r="A164" s="21">
        <v>1399</v>
      </c>
      <c r="B164" s="21">
        <v>49</v>
      </c>
      <c r="C164" s="21">
        <v>14722</v>
      </c>
      <c r="D164" s="44">
        <f>A164-B164</f>
        <v>1350</v>
      </c>
    </row>
    <row r="165" spans="1:4" x14ac:dyDescent="0.3">
      <c r="A165" s="21">
        <v>1658</v>
      </c>
      <c r="B165" s="21">
        <v>416</v>
      </c>
      <c r="C165" s="21">
        <v>11383</v>
      </c>
      <c r="D165" s="44">
        <f>A165-B165</f>
        <v>1242</v>
      </c>
    </row>
    <row r="166" spans="1:4" x14ac:dyDescent="0.3">
      <c r="A166" s="21">
        <v>1102</v>
      </c>
      <c r="B166" s="21">
        <v>422</v>
      </c>
      <c r="C166" s="21">
        <v>9480</v>
      </c>
      <c r="D166" s="44">
        <f>A166-B166</f>
        <v>680</v>
      </c>
    </row>
    <row r="167" spans="1:4" x14ac:dyDescent="0.3">
      <c r="A167" s="21">
        <v>1358</v>
      </c>
      <c r="B167" s="21">
        <v>242</v>
      </c>
      <c r="C167" s="21">
        <v>29116</v>
      </c>
      <c r="D167" s="44">
        <f>A167-B167</f>
        <v>1116</v>
      </c>
    </row>
    <row r="168" spans="1:4" x14ac:dyDescent="0.3">
      <c r="A168" s="21">
        <v>1077</v>
      </c>
      <c r="B168" s="21">
        <v>216</v>
      </c>
      <c r="C168" s="21">
        <v>14068</v>
      </c>
      <c r="D168" s="44">
        <f>A168-B168</f>
        <v>861</v>
      </c>
    </row>
    <row r="169" spans="1:4" x14ac:dyDescent="0.3">
      <c r="A169" s="21">
        <v>1596</v>
      </c>
      <c r="B169" s="21">
        <v>211</v>
      </c>
      <c r="C169" s="21">
        <v>35801</v>
      </c>
      <c r="D169" s="44">
        <f>A169-B169</f>
        <v>1385</v>
      </c>
    </row>
    <row r="170" spans="1:4" x14ac:dyDescent="0.3">
      <c r="A170" s="21">
        <v>490</v>
      </c>
      <c r="B170" s="21">
        <v>29</v>
      </c>
      <c r="C170" s="21">
        <v>49077</v>
      </c>
      <c r="D170" s="44">
        <f>A170-B170</f>
        <v>461</v>
      </c>
    </row>
    <row r="171" spans="1:4" x14ac:dyDescent="0.3">
      <c r="A171" s="21">
        <v>609</v>
      </c>
      <c r="B171" s="21">
        <v>135</v>
      </c>
      <c r="C171" s="21">
        <v>21453</v>
      </c>
      <c r="D171" s="44">
        <f>A171-B171</f>
        <v>474</v>
      </c>
    </row>
    <row r="172" spans="1:4" x14ac:dyDescent="0.3">
      <c r="A172" s="21">
        <v>364</v>
      </c>
      <c r="B172" s="21">
        <v>72</v>
      </c>
      <c r="C172" s="21">
        <v>21061</v>
      </c>
      <c r="D172" s="44">
        <f>A172-B172</f>
        <v>292</v>
      </c>
    </row>
    <row r="173" spans="1:4" x14ac:dyDescent="0.3">
      <c r="A173" s="21">
        <v>442</v>
      </c>
      <c r="B173" s="21">
        <v>53</v>
      </c>
      <c r="C173" s="21">
        <v>20059</v>
      </c>
      <c r="D173" s="44">
        <f>A173-B173</f>
        <v>389</v>
      </c>
    </row>
    <row r="174" spans="1:4" x14ac:dyDescent="0.3">
      <c r="A174" s="21">
        <v>1033</v>
      </c>
      <c r="B174" s="21">
        <v>392</v>
      </c>
      <c r="C174" s="21">
        <v>23140</v>
      </c>
      <c r="D174" s="44">
        <f>A174-B174</f>
        <v>641</v>
      </c>
    </row>
    <row r="175" spans="1:4" x14ac:dyDescent="0.3">
      <c r="A175" s="21">
        <v>988</v>
      </c>
      <c r="B175" s="21">
        <v>474</v>
      </c>
      <c r="C175" s="21">
        <v>23461</v>
      </c>
      <c r="D175" s="44">
        <f>A175-B175</f>
        <v>514</v>
      </c>
    </row>
    <row r="176" spans="1:4" x14ac:dyDescent="0.3">
      <c r="A176" s="21">
        <v>1946</v>
      </c>
      <c r="B176" s="21">
        <v>270</v>
      </c>
      <c r="C176" s="21">
        <v>11805</v>
      </c>
      <c r="D176" s="44">
        <f>A176-B176</f>
        <v>1676</v>
      </c>
    </row>
    <row r="177" spans="1:4" x14ac:dyDescent="0.3">
      <c r="A177" s="21">
        <v>1957</v>
      </c>
      <c r="B177" s="21">
        <v>490</v>
      </c>
      <c r="C177" s="21">
        <v>15969</v>
      </c>
      <c r="D177" s="44">
        <f>A177-B177</f>
        <v>1467</v>
      </c>
    </row>
    <row r="178" spans="1:4" x14ac:dyDescent="0.3">
      <c r="A178" s="21">
        <v>559</v>
      </c>
      <c r="B178" s="21">
        <v>392</v>
      </c>
      <c r="C178" s="21">
        <v>2436</v>
      </c>
      <c r="D178" s="44">
        <f>A178-B178</f>
        <v>167</v>
      </c>
    </row>
    <row r="179" spans="1:4" x14ac:dyDescent="0.3">
      <c r="A179" s="21">
        <v>1307</v>
      </c>
      <c r="B179" s="21">
        <v>278</v>
      </c>
      <c r="C179" s="21">
        <v>47603</v>
      </c>
      <c r="D179" s="44">
        <f>A179-B179</f>
        <v>1029</v>
      </c>
    </row>
    <row r="180" spans="1:4" x14ac:dyDescent="0.3">
      <c r="A180" s="21">
        <v>1432</v>
      </c>
      <c r="B180" s="21">
        <v>425</v>
      </c>
      <c r="C180" s="21">
        <v>42964</v>
      </c>
      <c r="D180" s="44">
        <f>A180-B180</f>
        <v>1007</v>
      </c>
    </row>
    <row r="181" spans="1:4" x14ac:dyDescent="0.3">
      <c r="A181" s="21">
        <v>623</v>
      </c>
      <c r="B181" s="21">
        <v>414</v>
      </c>
      <c r="C181" s="21">
        <v>39923</v>
      </c>
      <c r="D181" s="44">
        <f>A181-B181</f>
        <v>209</v>
      </c>
    </row>
    <row r="182" spans="1:4" x14ac:dyDescent="0.3">
      <c r="A182" s="21">
        <v>198</v>
      </c>
      <c r="B182" s="21">
        <v>358</v>
      </c>
      <c r="C182" s="21">
        <v>2293</v>
      </c>
      <c r="D182" s="44">
        <f>A182-B182</f>
        <v>-160</v>
      </c>
    </row>
    <row r="183" spans="1:4" x14ac:dyDescent="0.3">
      <c r="A183" s="21">
        <v>198</v>
      </c>
      <c r="B183" s="21">
        <v>373</v>
      </c>
      <c r="C183" s="21">
        <v>25920</v>
      </c>
      <c r="D183" s="44">
        <f>A183-B183</f>
        <v>-175</v>
      </c>
    </row>
    <row r="184" spans="1:4" x14ac:dyDescent="0.3">
      <c r="A184" s="21">
        <v>353</v>
      </c>
      <c r="B184" s="21">
        <v>300</v>
      </c>
      <c r="C184" s="21">
        <v>11035</v>
      </c>
      <c r="D184" s="44">
        <f>A184-B184</f>
        <v>53</v>
      </c>
    </row>
    <row r="185" spans="1:4" x14ac:dyDescent="0.3">
      <c r="A185" s="21">
        <v>520</v>
      </c>
      <c r="B185" s="21">
        <v>375</v>
      </c>
      <c r="C185" s="21">
        <v>20733</v>
      </c>
      <c r="D185" s="44">
        <f>A185-B185</f>
        <v>145</v>
      </c>
    </row>
    <row r="186" spans="1:4" x14ac:dyDescent="0.3">
      <c r="A186" s="21">
        <v>961</v>
      </c>
      <c r="B186" s="21">
        <v>358</v>
      </c>
      <c r="C186" s="21">
        <v>18693</v>
      </c>
      <c r="D186" s="44">
        <f>A186-B186</f>
        <v>603</v>
      </c>
    </row>
    <row r="187" spans="1:4" x14ac:dyDescent="0.3">
      <c r="A187" s="21">
        <v>1375</v>
      </c>
      <c r="B187" s="21">
        <v>330</v>
      </c>
      <c r="C187" s="21">
        <v>7875</v>
      </c>
      <c r="D187" s="44">
        <f>A187-B187</f>
        <v>1045</v>
      </c>
    </row>
    <row r="188" spans="1:4" x14ac:dyDescent="0.3">
      <c r="A188" s="21">
        <v>1147</v>
      </c>
      <c r="B188" s="21">
        <v>388</v>
      </c>
      <c r="C188" s="21">
        <v>8471</v>
      </c>
      <c r="D188" s="44">
        <f>A188-B188</f>
        <v>759</v>
      </c>
    </row>
    <row r="189" spans="1:4" x14ac:dyDescent="0.3">
      <c r="A189" s="21">
        <v>1707</v>
      </c>
      <c r="B189" s="21">
        <v>74</v>
      </c>
      <c r="C189" s="21">
        <v>14090</v>
      </c>
      <c r="D189" s="44">
        <f>A189-B189</f>
        <v>1633</v>
      </c>
    </row>
    <row r="190" spans="1:4" x14ac:dyDescent="0.3">
      <c r="A190" s="21">
        <v>1693</v>
      </c>
      <c r="B190" s="21">
        <v>154</v>
      </c>
      <c r="C190" s="21">
        <v>14216</v>
      </c>
      <c r="D190" s="44">
        <f>A190-B190</f>
        <v>1539</v>
      </c>
    </row>
    <row r="191" spans="1:4" x14ac:dyDescent="0.3">
      <c r="A191" s="21">
        <v>833</v>
      </c>
      <c r="B191" s="21">
        <v>380</v>
      </c>
      <c r="C191" s="21">
        <v>3582</v>
      </c>
      <c r="D191" s="44">
        <f>A191-B191</f>
        <v>453</v>
      </c>
    </row>
    <row r="192" spans="1:4" x14ac:dyDescent="0.3">
      <c r="A192" s="21">
        <v>1222</v>
      </c>
      <c r="B192" s="21">
        <v>274</v>
      </c>
      <c r="C192" s="21">
        <v>32500</v>
      </c>
      <c r="D192" s="44">
        <f>A192-B192</f>
        <v>948</v>
      </c>
    </row>
    <row r="193" spans="1:4" x14ac:dyDescent="0.3">
      <c r="A193" s="21">
        <v>777</v>
      </c>
      <c r="B193" s="21">
        <v>140</v>
      </c>
      <c r="C193" s="21">
        <v>6832</v>
      </c>
      <c r="D193" s="44">
        <f>A193-B193</f>
        <v>637</v>
      </c>
    </row>
    <row r="194" spans="1:4" x14ac:dyDescent="0.3">
      <c r="A194" s="21">
        <v>1957</v>
      </c>
      <c r="B194" s="21">
        <v>76</v>
      </c>
      <c r="C194" s="21">
        <v>33381</v>
      </c>
      <c r="D194" s="44">
        <f>A194-B194</f>
        <v>1881</v>
      </c>
    </row>
    <row r="195" spans="1:4" x14ac:dyDescent="0.3">
      <c r="A195" s="21">
        <v>405</v>
      </c>
      <c r="B195" s="21">
        <v>66</v>
      </c>
      <c r="C195" s="21">
        <v>48419</v>
      </c>
      <c r="D195" s="44">
        <f>A195-B195</f>
        <v>339</v>
      </c>
    </row>
    <row r="196" spans="1:4" x14ac:dyDescent="0.3">
      <c r="A196" s="21">
        <v>1581</v>
      </c>
      <c r="B196" s="21">
        <v>71</v>
      </c>
      <c r="C196" s="21">
        <v>16149</v>
      </c>
      <c r="D196" s="44">
        <f>A196-B196</f>
        <v>1510</v>
      </c>
    </row>
    <row r="197" spans="1:4" x14ac:dyDescent="0.3">
      <c r="A197" s="21">
        <v>1035</v>
      </c>
      <c r="B197" s="21">
        <v>171</v>
      </c>
      <c r="C197" s="21">
        <v>7541</v>
      </c>
      <c r="D197" s="44">
        <f>A197-B197</f>
        <v>864</v>
      </c>
    </row>
    <row r="198" spans="1:4" x14ac:dyDescent="0.3">
      <c r="A198" s="21">
        <v>1765</v>
      </c>
      <c r="B198" s="21">
        <v>109</v>
      </c>
      <c r="C198" s="21">
        <v>20042</v>
      </c>
      <c r="D198" s="44">
        <f>A198-B198</f>
        <v>1656</v>
      </c>
    </row>
    <row r="199" spans="1:4" x14ac:dyDescent="0.3">
      <c r="A199" s="21">
        <v>837</v>
      </c>
      <c r="B199" s="21">
        <v>430</v>
      </c>
      <c r="C199" s="21">
        <v>49400</v>
      </c>
      <c r="D199" s="44">
        <f>A199-B199</f>
        <v>407</v>
      </c>
    </row>
    <row r="200" spans="1:4" x14ac:dyDescent="0.3">
      <c r="A200" s="21">
        <v>337</v>
      </c>
      <c r="B200" s="21">
        <v>68</v>
      </c>
      <c r="C200" s="21">
        <v>4007</v>
      </c>
      <c r="D200" s="44">
        <f>A200-B200</f>
        <v>269</v>
      </c>
    </row>
    <row r="201" spans="1:4" x14ac:dyDescent="0.3">
      <c r="A201" s="21">
        <v>119</v>
      </c>
      <c r="B201" s="21">
        <v>456</v>
      </c>
      <c r="C201" s="21">
        <v>12174</v>
      </c>
      <c r="D201" s="44">
        <f>A201-B201</f>
        <v>-337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77" workbookViewId="0">
      <selection activeCell="B1" sqref="B1"/>
    </sheetView>
  </sheetViews>
  <sheetFormatPr defaultColWidth="14.44140625" defaultRowHeight="15" customHeight="1" x14ac:dyDescent="0.3"/>
  <cols>
    <col min="1" max="1" width="26.88671875" customWidth="1"/>
    <col min="2" max="2" width="18.44140625" customWidth="1"/>
    <col min="3" max="3" width="13.6640625" customWidth="1"/>
    <col min="4" max="4" width="22.77734375" customWidth="1"/>
    <col min="5" max="5" width="17.109375" customWidth="1"/>
    <col min="6" max="6" width="20.88671875" customWidth="1"/>
    <col min="7" max="7" width="16" customWidth="1"/>
    <col min="8" max="8" width="13.6640625" customWidth="1"/>
    <col min="9" max="9" width="12.109375" customWidth="1"/>
    <col min="10" max="10" width="11.33203125" customWidth="1"/>
    <col min="11" max="26" width="8.6640625" customWidth="1"/>
  </cols>
  <sheetData>
    <row r="1" spans="1:10" ht="14.4" x14ac:dyDescent="0.3">
      <c r="A1" s="22" t="s">
        <v>567</v>
      </c>
      <c r="B1" s="22" t="s">
        <v>1</v>
      </c>
      <c r="C1" s="22" t="s">
        <v>568</v>
      </c>
      <c r="D1" s="22" t="s">
        <v>569</v>
      </c>
      <c r="E1" s="22" t="s">
        <v>570</v>
      </c>
      <c r="F1" s="22" t="s">
        <v>571</v>
      </c>
      <c r="G1" s="22" t="s">
        <v>572</v>
      </c>
      <c r="H1" s="20" t="s">
        <v>620</v>
      </c>
      <c r="I1" s="20" t="s">
        <v>621</v>
      </c>
      <c r="J1" s="20" t="s">
        <v>649</v>
      </c>
    </row>
    <row r="2" spans="1:10" ht="14.4" x14ac:dyDescent="0.3">
      <c r="A2" s="21" t="s">
        <v>232</v>
      </c>
      <c r="B2" s="21" t="s">
        <v>33</v>
      </c>
      <c r="C2" s="21">
        <v>1135</v>
      </c>
      <c r="D2" s="21">
        <v>88</v>
      </c>
      <c r="E2" s="21">
        <v>344084</v>
      </c>
      <c r="F2" s="21">
        <v>8.06</v>
      </c>
      <c r="G2" s="21">
        <v>5904</v>
      </c>
      <c r="H2" s="21">
        <f>E2-C2+D2</f>
        <v>343037</v>
      </c>
      <c r="I2" s="23">
        <f>(E2-H2)/H2</f>
        <v>3.0521488935595868E-3</v>
      </c>
      <c r="J2">
        <f>C2-D2</f>
        <v>1047</v>
      </c>
    </row>
    <row r="3" spans="1:10" ht="14.4" x14ac:dyDescent="0.3">
      <c r="A3" s="21" t="s">
        <v>232</v>
      </c>
      <c r="B3" s="21" t="s">
        <v>43</v>
      </c>
      <c r="C3" s="21">
        <v>1312</v>
      </c>
      <c r="D3" s="21">
        <v>310</v>
      </c>
      <c r="E3" s="21">
        <v>42654</v>
      </c>
      <c r="F3" s="21">
        <v>4.9800000000000004</v>
      </c>
      <c r="G3" s="21">
        <v>9566</v>
      </c>
      <c r="H3" s="21">
        <f t="shared" ref="H3:H66" si="0">E3-C3+D3</f>
        <v>41652</v>
      </c>
      <c r="I3" s="23">
        <f t="shared" ref="I3:I66" si="1">(E3-H3)/H3</f>
        <v>2.4056467876692595E-2</v>
      </c>
      <c r="J3">
        <f t="shared" ref="J3:J66" si="2">C3-D3</f>
        <v>1002</v>
      </c>
    </row>
    <row r="4" spans="1:10" ht="14.4" x14ac:dyDescent="0.3">
      <c r="A4" s="21" t="s">
        <v>232</v>
      </c>
      <c r="B4" s="21" t="s">
        <v>14</v>
      </c>
      <c r="C4" s="21">
        <v>584</v>
      </c>
      <c r="D4" s="21">
        <v>169</v>
      </c>
      <c r="E4" s="21">
        <v>146834</v>
      </c>
      <c r="F4" s="21">
        <v>8.31</v>
      </c>
      <c r="G4" s="21">
        <v>26752</v>
      </c>
      <c r="H4" s="21">
        <f t="shared" si="0"/>
        <v>146419</v>
      </c>
      <c r="I4" s="23">
        <f t="shared" si="1"/>
        <v>2.8343316099686518E-3</v>
      </c>
      <c r="J4">
        <f t="shared" si="2"/>
        <v>415</v>
      </c>
    </row>
    <row r="5" spans="1:10" ht="14.4" x14ac:dyDescent="0.3">
      <c r="A5" s="21" t="s">
        <v>232</v>
      </c>
      <c r="B5" s="21" t="s">
        <v>27</v>
      </c>
      <c r="C5" s="21">
        <v>1535</v>
      </c>
      <c r="D5" s="21">
        <v>445</v>
      </c>
      <c r="E5" s="21">
        <v>395536</v>
      </c>
      <c r="F5" s="21">
        <v>4.1100000000000003</v>
      </c>
      <c r="G5" s="21">
        <v>30671</v>
      </c>
      <c r="H5" s="21">
        <f t="shared" si="0"/>
        <v>394446</v>
      </c>
      <c r="I5" s="23">
        <f t="shared" si="1"/>
        <v>2.7633693838953876E-3</v>
      </c>
      <c r="J5">
        <f t="shared" si="2"/>
        <v>1090</v>
      </c>
    </row>
    <row r="6" spans="1:10" ht="14.4" x14ac:dyDescent="0.3">
      <c r="A6" s="21" t="s">
        <v>151</v>
      </c>
      <c r="B6" s="21" t="s">
        <v>33</v>
      </c>
      <c r="C6" s="21">
        <v>656</v>
      </c>
      <c r="D6" s="21">
        <v>139</v>
      </c>
      <c r="E6" s="21">
        <v>49157</v>
      </c>
      <c r="F6" s="21">
        <v>9.0500000000000007</v>
      </c>
      <c r="G6" s="21">
        <v>9920</v>
      </c>
      <c r="H6" s="21">
        <f t="shared" si="0"/>
        <v>48640</v>
      </c>
      <c r="I6" s="23">
        <f t="shared" si="1"/>
        <v>1.0629111842105262E-2</v>
      </c>
      <c r="J6">
        <f t="shared" si="2"/>
        <v>517</v>
      </c>
    </row>
    <row r="7" spans="1:10" ht="14.4" x14ac:dyDescent="0.3">
      <c r="A7" s="21" t="s">
        <v>151</v>
      </c>
      <c r="B7" s="21" t="s">
        <v>43</v>
      </c>
      <c r="C7" s="21">
        <v>1697</v>
      </c>
      <c r="D7" s="21">
        <v>414</v>
      </c>
      <c r="E7" s="21">
        <v>316555</v>
      </c>
      <c r="F7" s="21">
        <v>2.37</v>
      </c>
      <c r="G7" s="21">
        <v>7924</v>
      </c>
      <c r="H7" s="21">
        <f t="shared" si="0"/>
        <v>315272</v>
      </c>
      <c r="I7" s="23">
        <f t="shared" si="1"/>
        <v>4.06950189043112E-3</v>
      </c>
      <c r="J7">
        <f t="shared" si="2"/>
        <v>1283</v>
      </c>
    </row>
    <row r="8" spans="1:10" ht="14.4" x14ac:dyDescent="0.3">
      <c r="A8" s="21" t="s">
        <v>151</v>
      </c>
      <c r="B8" s="21" t="s">
        <v>14</v>
      </c>
      <c r="C8" s="21">
        <v>436</v>
      </c>
      <c r="D8" s="21">
        <v>250</v>
      </c>
      <c r="E8" s="21">
        <v>254347</v>
      </c>
      <c r="F8" s="21">
        <v>4.01</v>
      </c>
      <c r="G8" s="21">
        <v>8912</v>
      </c>
      <c r="H8" s="21">
        <f t="shared" si="0"/>
        <v>254161</v>
      </c>
      <c r="I8" s="23">
        <f t="shared" si="1"/>
        <v>7.3181959466637287E-4</v>
      </c>
      <c r="J8">
        <f t="shared" si="2"/>
        <v>186</v>
      </c>
    </row>
    <row r="9" spans="1:10" ht="14.4" x14ac:dyDescent="0.3">
      <c r="A9" s="21" t="s">
        <v>151</v>
      </c>
      <c r="B9" s="21" t="s">
        <v>27</v>
      </c>
      <c r="C9" s="21">
        <v>1197</v>
      </c>
      <c r="D9" s="21">
        <v>203</v>
      </c>
      <c r="E9" s="21">
        <v>413878</v>
      </c>
      <c r="F9" s="21">
        <v>3.16</v>
      </c>
      <c r="G9" s="21">
        <v>21205</v>
      </c>
      <c r="H9" s="21">
        <f t="shared" si="0"/>
        <v>412884</v>
      </c>
      <c r="I9" s="23">
        <f t="shared" si="1"/>
        <v>2.4074558471628834E-3</v>
      </c>
      <c r="J9">
        <f t="shared" si="2"/>
        <v>994</v>
      </c>
    </row>
    <row r="10" spans="1:10" ht="14.4" x14ac:dyDescent="0.3">
      <c r="A10" s="21" t="s">
        <v>164</v>
      </c>
      <c r="B10" s="21" t="s">
        <v>33</v>
      </c>
      <c r="C10" s="21">
        <v>1048</v>
      </c>
      <c r="D10" s="21">
        <v>155</v>
      </c>
      <c r="E10" s="21">
        <v>456946</v>
      </c>
      <c r="F10" s="21">
        <v>2.46</v>
      </c>
      <c r="G10" s="21">
        <v>11329</v>
      </c>
      <c r="H10" s="21">
        <f t="shared" si="0"/>
        <v>456053</v>
      </c>
      <c r="I10" s="23">
        <f t="shared" si="1"/>
        <v>1.9581057464812205E-3</v>
      </c>
      <c r="J10">
        <f t="shared" si="2"/>
        <v>893</v>
      </c>
    </row>
    <row r="11" spans="1:10" ht="14.4" x14ac:dyDescent="0.3">
      <c r="A11" s="21" t="s">
        <v>164</v>
      </c>
      <c r="B11" s="21" t="s">
        <v>43</v>
      </c>
      <c r="C11" s="21">
        <v>1753</v>
      </c>
      <c r="D11" s="21">
        <v>371</v>
      </c>
      <c r="E11" s="24">
        <v>169496</v>
      </c>
      <c r="F11" s="21">
        <v>8.11</v>
      </c>
      <c r="G11" s="21">
        <v>46670</v>
      </c>
      <c r="H11" s="21">
        <f t="shared" si="0"/>
        <v>168114</v>
      </c>
      <c r="I11" s="23">
        <f t="shared" si="1"/>
        <v>8.2206122036237311E-3</v>
      </c>
      <c r="J11">
        <f t="shared" si="2"/>
        <v>1382</v>
      </c>
    </row>
    <row r="12" spans="1:10" ht="14.4" x14ac:dyDescent="0.3">
      <c r="A12" s="21" t="s">
        <v>164</v>
      </c>
      <c r="B12" s="21" t="s">
        <v>14</v>
      </c>
      <c r="C12" s="21">
        <v>1335</v>
      </c>
      <c r="D12" s="21">
        <v>40</v>
      </c>
      <c r="E12" s="21">
        <v>122732</v>
      </c>
      <c r="F12" s="21">
        <v>8.19</v>
      </c>
      <c r="G12" s="21">
        <v>22482</v>
      </c>
      <c r="H12" s="21">
        <f t="shared" si="0"/>
        <v>121437</v>
      </c>
      <c r="I12" s="23">
        <f t="shared" si="1"/>
        <v>1.0663965677676491E-2</v>
      </c>
      <c r="J12">
        <f t="shared" si="2"/>
        <v>1295</v>
      </c>
    </row>
    <row r="13" spans="1:10" ht="14.4" x14ac:dyDescent="0.3">
      <c r="A13" s="21" t="s">
        <v>164</v>
      </c>
      <c r="B13" s="21" t="s">
        <v>27</v>
      </c>
      <c r="C13" s="21">
        <v>403</v>
      </c>
      <c r="D13" s="21">
        <v>66</v>
      </c>
      <c r="E13" s="21">
        <v>382851</v>
      </c>
      <c r="F13" s="21">
        <v>3.49</v>
      </c>
      <c r="G13" s="21">
        <v>24313</v>
      </c>
      <c r="H13" s="21">
        <f t="shared" si="0"/>
        <v>382514</v>
      </c>
      <c r="I13" s="23">
        <f t="shared" si="1"/>
        <v>8.810135053880381E-4</v>
      </c>
      <c r="J13">
        <f t="shared" si="2"/>
        <v>337</v>
      </c>
    </row>
    <row r="14" spans="1:10" ht="14.4" x14ac:dyDescent="0.3">
      <c r="A14" s="21" t="s">
        <v>48</v>
      </c>
      <c r="B14" s="21" t="s">
        <v>33</v>
      </c>
      <c r="C14" s="21">
        <v>911</v>
      </c>
      <c r="D14" s="21">
        <v>282</v>
      </c>
      <c r="E14" s="21">
        <v>35664</v>
      </c>
      <c r="F14" s="21">
        <v>6.92</v>
      </c>
      <c r="G14" s="21">
        <v>18050</v>
      </c>
      <c r="H14" s="21">
        <f t="shared" si="0"/>
        <v>35035</v>
      </c>
      <c r="I14" s="23">
        <f t="shared" si="1"/>
        <v>1.7953475096332241E-2</v>
      </c>
      <c r="J14">
        <f t="shared" si="2"/>
        <v>629</v>
      </c>
    </row>
    <row r="15" spans="1:10" ht="14.4" x14ac:dyDescent="0.3">
      <c r="A15" s="21" t="s">
        <v>48</v>
      </c>
      <c r="B15" s="21" t="s">
        <v>43</v>
      </c>
      <c r="C15" s="21">
        <v>1779</v>
      </c>
      <c r="D15" s="21">
        <v>109</v>
      </c>
      <c r="E15" s="21">
        <v>26295</v>
      </c>
      <c r="F15" s="21">
        <v>9.1199999999999992</v>
      </c>
      <c r="G15" s="21">
        <v>30635</v>
      </c>
      <c r="H15" s="21">
        <f t="shared" si="0"/>
        <v>24625</v>
      </c>
      <c r="I15" s="23">
        <f t="shared" si="1"/>
        <v>6.7817258883248729E-2</v>
      </c>
      <c r="J15">
        <f t="shared" si="2"/>
        <v>1670</v>
      </c>
    </row>
    <row r="16" spans="1:10" ht="14.4" x14ac:dyDescent="0.3">
      <c r="A16" s="21" t="s">
        <v>48</v>
      </c>
      <c r="B16" s="21" t="s">
        <v>14</v>
      </c>
      <c r="C16" s="21">
        <v>1238</v>
      </c>
      <c r="D16" s="21">
        <v>403</v>
      </c>
      <c r="E16" s="21">
        <v>298421</v>
      </c>
      <c r="F16" s="21">
        <v>3.5</v>
      </c>
      <c r="G16" s="21">
        <v>31280</v>
      </c>
      <c r="H16" s="21">
        <f t="shared" si="0"/>
        <v>297586</v>
      </c>
      <c r="I16" s="23">
        <f t="shared" si="1"/>
        <v>2.8059115684205575E-3</v>
      </c>
      <c r="J16">
        <f t="shared" si="2"/>
        <v>835</v>
      </c>
    </row>
    <row r="17" spans="1:10" ht="14.4" x14ac:dyDescent="0.3">
      <c r="A17" s="21" t="s">
        <v>48</v>
      </c>
      <c r="B17" s="21" t="s">
        <v>27</v>
      </c>
      <c r="C17" s="21">
        <v>308</v>
      </c>
      <c r="D17" s="21">
        <v>431</v>
      </c>
      <c r="E17" s="21">
        <v>426184</v>
      </c>
      <c r="F17" s="21">
        <v>2.62</v>
      </c>
      <c r="G17" s="21">
        <v>1783</v>
      </c>
      <c r="H17" s="21">
        <f t="shared" si="0"/>
        <v>426307</v>
      </c>
      <c r="I17" s="23">
        <f t="shared" si="1"/>
        <v>-2.8852446710938363E-4</v>
      </c>
      <c r="J17">
        <f t="shared" si="2"/>
        <v>-123</v>
      </c>
    </row>
    <row r="18" spans="1:10" ht="14.4" x14ac:dyDescent="0.3">
      <c r="A18" s="21" t="s">
        <v>455</v>
      </c>
      <c r="B18" s="21" t="s">
        <v>33</v>
      </c>
      <c r="C18" s="21">
        <v>226</v>
      </c>
      <c r="D18" s="21">
        <v>445</v>
      </c>
      <c r="E18" s="21">
        <v>419447</v>
      </c>
      <c r="F18" s="21">
        <v>9.36</v>
      </c>
      <c r="G18" s="21">
        <v>9566</v>
      </c>
      <c r="H18" s="21">
        <f t="shared" si="0"/>
        <v>419666</v>
      </c>
      <c r="I18" s="23">
        <f t="shared" si="1"/>
        <v>-5.2184356130827853E-4</v>
      </c>
      <c r="J18">
        <f t="shared" si="2"/>
        <v>-219</v>
      </c>
    </row>
    <row r="19" spans="1:10" ht="14.4" x14ac:dyDescent="0.3">
      <c r="A19" s="21" t="s">
        <v>455</v>
      </c>
      <c r="B19" s="21" t="s">
        <v>43</v>
      </c>
      <c r="C19" s="21">
        <v>505</v>
      </c>
      <c r="D19" s="21">
        <v>441</v>
      </c>
      <c r="E19" s="21">
        <v>220020</v>
      </c>
      <c r="F19" s="21">
        <v>4.4800000000000004</v>
      </c>
      <c r="G19" s="21">
        <v>42307</v>
      </c>
      <c r="H19" s="21">
        <f t="shared" si="0"/>
        <v>219956</v>
      </c>
      <c r="I19" s="23">
        <f t="shared" si="1"/>
        <v>2.9096728436596409E-4</v>
      </c>
      <c r="J19">
        <f t="shared" si="2"/>
        <v>64</v>
      </c>
    </row>
    <row r="20" spans="1:10" ht="14.4" x14ac:dyDescent="0.3">
      <c r="A20" s="21" t="s">
        <v>455</v>
      </c>
      <c r="B20" s="21" t="s">
        <v>14</v>
      </c>
      <c r="C20" s="21">
        <v>1420</v>
      </c>
      <c r="D20" s="21">
        <v>63</v>
      </c>
      <c r="E20" s="21">
        <v>315305</v>
      </c>
      <c r="F20" s="21">
        <v>6.19</v>
      </c>
      <c r="G20" s="21">
        <v>5914</v>
      </c>
      <c r="H20" s="21">
        <f t="shared" si="0"/>
        <v>313948</v>
      </c>
      <c r="I20" s="23">
        <f t="shared" si="1"/>
        <v>4.3223718577598842E-3</v>
      </c>
      <c r="J20">
        <f t="shared" si="2"/>
        <v>1357</v>
      </c>
    </row>
    <row r="21" spans="1:10" ht="15.75" customHeight="1" x14ac:dyDescent="0.3">
      <c r="A21" s="21" t="s">
        <v>455</v>
      </c>
      <c r="B21" s="21" t="s">
        <v>27</v>
      </c>
      <c r="C21" s="21">
        <v>144</v>
      </c>
      <c r="D21" s="21">
        <v>53</v>
      </c>
      <c r="E21" s="21">
        <v>113678</v>
      </c>
      <c r="F21" s="21">
        <v>8.7200000000000006</v>
      </c>
      <c r="G21" s="21">
        <v>30060</v>
      </c>
      <c r="H21" s="21">
        <f t="shared" si="0"/>
        <v>113587</v>
      </c>
      <c r="I21" s="23">
        <f t="shared" si="1"/>
        <v>8.0114801869932302E-4</v>
      </c>
      <c r="J21">
        <f t="shared" si="2"/>
        <v>91</v>
      </c>
    </row>
    <row r="22" spans="1:10" ht="15.75" customHeight="1" x14ac:dyDescent="0.3">
      <c r="A22" s="21" t="s">
        <v>573</v>
      </c>
      <c r="B22" s="21" t="s">
        <v>33</v>
      </c>
      <c r="C22" s="21">
        <v>1757</v>
      </c>
      <c r="D22" s="21">
        <v>85</v>
      </c>
      <c r="E22" s="21">
        <v>58223</v>
      </c>
      <c r="F22" s="21">
        <v>8.74</v>
      </c>
      <c r="G22" s="21">
        <v>22728</v>
      </c>
      <c r="H22" s="21">
        <f t="shared" si="0"/>
        <v>56551</v>
      </c>
      <c r="I22" s="23">
        <f t="shared" si="1"/>
        <v>2.9566232250534917E-2</v>
      </c>
      <c r="J22">
        <f t="shared" si="2"/>
        <v>1672</v>
      </c>
    </row>
    <row r="23" spans="1:10" ht="15.75" customHeight="1" x14ac:dyDescent="0.3">
      <c r="A23" s="21" t="s">
        <v>573</v>
      </c>
      <c r="B23" s="21" t="s">
        <v>43</v>
      </c>
      <c r="C23" s="21">
        <v>350</v>
      </c>
      <c r="D23" s="21">
        <v>41</v>
      </c>
      <c r="E23" s="21">
        <v>251694</v>
      </c>
      <c r="F23" s="21">
        <v>1.91</v>
      </c>
      <c r="G23" s="21">
        <v>38610</v>
      </c>
      <c r="H23" s="21">
        <f t="shared" si="0"/>
        <v>251385</v>
      </c>
      <c r="I23" s="23">
        <f t="shared" si="1"/>
        <v>1.2291902858165761E-3</v>
      </c>
      <c r="J23">
        <f t="shared" si="2"/>
        <v>309</v>
      </c>
    </row>
    <row r="24" spans="1:10" ht="15.75" customHeight="1" x14ac:dyDescent="0.3">
      <c r="A24" s="21" t="s">
        <v>573</v>
      </c>
      <c r="B24" s="21" t="s">
        <v>14</v>
      </c>
      <c r="C24" s="21">
        <v>987</v>
      </c>
      <c r="D24" s="21">
        <v>440</v>
      </c>
      <c r="E24" s="21">
        <v>389810</v>
      </c>
      <c r="F24" s="21">
        <v>4.66</v>
      </c>
      <c r="G24" s="21">
        <v>2932</v>
      </c>
      <c r="H24" s="21">
        <f t="shared" si="0"/>
        <v>389263</v>
      </c>
      <c r="I24" s="23">
        <f t="shared" si="1"/>
        <v>1.4052196073091972E-3</v>
      </c>
      <c r="J24">
        <f t="shared" si="2"/>
        <v>547</v>
      </c>
    </row>
    <row r="25" spans="1:10" ht="15.75" customHeight="1" x14ac:dyDescent="0.3">
      <c r="A25" s="21" t="s">
        <v>573</v>
      </c>
      <c r="B25" s="21" t="s">
        <v>27</v>
      </c>
      <c r="C25" s="21">
        <v>883</v>
      </c>
      <c r="D25" s="21">
        <v>369</v>
      </c>
      <c r="E25" s="21">
        <v>233694</v>
      </c>
      <c r="F25" s="21">
        <v>2.88</v>
      </c>
      <c r="G25" s="21">
        <v>15071</v>
      </c>
      <c r="H25" s="21">
        <f t="shared" si="0"/>
        <v>233180</v>
      </c>
      <c r="I25" s="23">
        <f t="shared" si="1"/>
        <v>2.2043056865940474E-3</v>
      </c>
      <c r="J25">
        <f t="shared" si="2"/>
        <v>514</v>
      </c>
    </row>
    <row r="26" spans="1:10" ht="15.75" customHeight="1" x14ac:dyDescent="0.3">
      <c r="A26" s="21" t="s">
        <v>315</v>
      </c>
      <c r="B26" s="21" t="s">
        <v>33</v>
      </c>
      <c r="C26" s="21">
        <v>1960</v>
      </c>
      <c r="D26" s="21">
        <v>115</v>
      </c>
      <c r="E26" s="21">
        <v>154169</v>
      </c>
      <c r="F26" s="21">
        <v>3.74</v>
      </c>
      <c r="G26" s="21">
        <v>10740</v>
      </c>
      <c r="H26" s="21">
        <f t="shared" si="0"/>
        <v>152324</v>
      </c>
      <c r="I26" s="23">
        <f t="shared" si="1"/>
        <v>1.2112339486883223E-2</v>
      </c>
      <c r="J26">
        <f t="shared" si="2"/>
        <v>1845</v>
      </c>
    </row>
    <row r="27" spans="1:10" ht="15.75" customHeight="1" x14ac:dyDescent="0.3">
      <c r="A27" s="21" t="s">
        <v>315</v>
      </c>
      <c r="B27" s="21" t="s">
        <v>43</v>
      </c>
      <c r="C27" s="21">
        <v>170</v>
      </c>
      <c r="D27" s="21">
        <v>334</v>
      </c>
      <c r="E27" s="21">
        <v>334626</v>
      </c>
      <c r="F27" s="21">
        <v>6.44</v>
      </c>
      <c r="G27" s="21">
        <v>43420</v>
      </c>
      <c r="H27" s="21">
        <f t="shared" si="0"/>
        <v>334790</v>
      </c>
      <c r="I27" s="23">
        <f t="shared" si="1"/>
        <v>-4.8985931479434872E-4</v>
      </c>
      <c r="J27">
        <f t="shared" si="2"/>
        <v>-164</v>
      </c>
    </row>
    <row r="28" spans="1:10" ht="15.75" customHeight="1" x14ac:dyDescent="0.3">
      <c r="A28" s="21" t="s">
        <v>315</v>
      </c>
      <c r="B28" s="21" t="s">
        <v>14</v>
      </c>
      <c r="C28" s="21">
        <v>704</v>
      </c>
      <c r="D28" s="21">
        <v>275</v>
      </c>
      <c r="E28" s="21">
        <v>226002</v>
      </c>
      <c r="F28" s="21">
        <v>8.56</v>
      </c>
      <c r="G28" s="21">
        <v>32393</v>
      </c>
      <c r="H28" s="21">
        <f t="shared" si="0"/>
        <v>225573</v>
      </c>
      <c r="I28" s="23">
        <f t="shared" si="1"/>
        <v>1.9018233565187323E-3</v>
      </c>
      <c r="J28">
        <f t="shared" si="2"/>
        <v>429</v>
      </c>
    </row>
    <row r="29" spans="1:10" ht="15.75" customHeight="1" x14ac:dyDescent="0.3">
      <c r="A29" s="21" t="s">
        <v>315</v>
      </c>
      <c r="B29" s="21" t="s">
        <v>27</v>
      </c>
      <c r="C29" s="21">
        <v>224</v>
      </c>
      <c r="D29" s="21">
        <v>64</v>
      </c>
      <c r="E29" s="21">
        <v>156683</v>
      </c>
      <c r="F29" s="21">
        <v>4.5599999999999996</v>
      </c>
      <c r="G29" s="21">
        <v>28474</v>
      </c>
      <c r="H29" s="21">
        <f t="shared" si="0"/>
        <v>156523</v>
      </c>
      <c r="I29" s="23">
        <f t="shared" si="1"/>
        <v>1.0222139877206545E-3</v>
      </c>
      <c r="J29">
        <f t="shared" si="2"/>
        <v>160</v>
      </c>
    </row>
    <row r="30" spans="1:10" ht="15.75" customHeight="1" x14ac:dyDescent="0.3">
      <c r="A30" s="21" t="s">
        <v>574</v>
      </c>
      <c r="B30" s="21" t="s">
        <v>33</v>
      </c>
      <c r="C30" s="21">
        <v>508</v>
      </c>
      <c r="D30" s="21">
        <v>349</v>
      </c>
      <c r="E30" s="21">
        <v>473812</v>
      </c>
      <c r="F30" s="21">
        <v>7.88</v>
      </c>
      <c r="G30" s="21">
        <v>17328</v>
      </c>
      <c r="H30" s="21">
        <f t="shared" si="0"/>
        <v>473653</v>
      </c>
      <c r="I30" s="23">
        <f t="shared" si="1"/>
        <v>3.3568878482771145E-4</v>
      </c>
      <c r="J30">
        <f t="shared" si="2"/>
        <v>159</v>
      </c>
    </row>
    <row r="31" spans="1:10" ht="15.75" customHeight="1" x14ac:dyDescent="0.3">
      <c r="A31" s="21" t="s">
        <v>574</v>
      </c>
      <c r="B31" s="21" t="s">
        <v>43</v>
      </c>
      <c r="C31" s="21">
        <v>1391</v>
      </c>
      <c r="D31" s="21">
        <v>430</v>
      </c>
      <c r="E31" s="21">
        <v>295032</v>
      </c>
      <c r="F31" s="21">
        <v>7.86</v>
      </c>
      <c r="G31" s="21">
        <v>26067</v>
      </c>
      <c r="H31" s="21">
        <f t="shared" si="0"/>
        <v>294071</v>
      </c>
      <c r="I31" s="23">
        <f t="shared" si="1"/>
        <v>3.2679182918410859E-3</v>
      </c>
      <c r="J31">
        <f t="shared" si="2"/>
        <v>961</v>
      </c>
    </row>
    <row r="32" spans="1:10" ht="15.75" customHeight="1" x14ac:dyDescent="0.3">
      <c r="A32" s="21" t="s">
        <v>574</v>
      </c>
      <c r="B32" s="21" t="s">
        <v>14</v>
      </c>
      <c r="C32" s="21">
        <v>1701</v>
      </c>
      <c r="D32" s="21">
        <v>385</v>
      </c>
      <c r="E32" s="21">
        <v>198278</v>
      </c>
      <c r="F32" s="21">
        <v>5.34</v>
      </c>
      <c r="G32" s="21">
        <v>32763</v>
      </c>
      <c r="H32" s="21">
        <f t="shared" si="0"/>
        <v>196962</v>
      </c>
      <c r="I32" s="23">
        <f t="shared" si="1"/>
        <v>6.6814918613742752E-3</v>
      </c>
      <c r="J32">
        <f t="shared" si="2"/>
        <v>1316</v>
      </c>
    </row>
    <row r="33" spans="1:10" ht="15.75" customHeight="1" x14ac:dyDescent="0.3">
      <c r="A33" s="21" t="s">
        <v>574</v>
      </c>
      <c r="B33" s="21" t="s">
        <v>27</v>
      </c>
      <c r="C33" s="21">
        <v>804</v>
      </c>
      <c r="D33" s="21">
        <v>487</v>
      </c>
      <c r="E33" s="21">
        <v>306564</v>
      </c>
      <c r="F33" s="21">
        <v>5.52</v>
      </c>
      <c r="G33" s="21">
        <v>26452</v>
      </c>
      <c r="H33" s="21">
        <f t="shared" si="0"/>
        <v>306247</v>
      </c>
      <c r="I33" s="23">
        <f t="shared" si="1"/>
        <v>1.0351121806907496E-3</v>
      </c>
      <c r="J33">
        <f t="shared" si="2"/>
        <v>317</v>
      </c>
    </row>
    <row r="34" spans="1:10" ht="15.75" customHeight="1" x14ac:dyDescent="0.3">
      <c r="A34" s="21" t="s">
        <v>268</v>
      </c>
      <c r="B34" s="21" t="s">
        <v>33</v>
      </c>
      <c r="C34" s="21">
        <v>653</v>
      </c>
      <c r="D34" s="21">
        <v>112</v>
      </c>
      <c r="E34" s="21">
        <v>23664</v>
      </c>
      <c r="F34" s="21">
        <v>4.05</v>
      </c>
      <c r="G34" s="21">
        <v>15353</v>
      </c>
      <c r="H34" s="21">
        <f t="shared" si="0"/>
        <v>23123</v>
      </c>
      <c r="I34" s="23">
        <f t="shared" si="1"/>
        <v>2.3396618085888509E-2</v>
      </c>
      <c r="J34">
        <f t="shared" si="2"/>
        <v>541</v>
      </c>
    </row>
    <row r="35" spans="1:10" ht="15.75" customHeight="1" x14ac:dyDescent="0.3">
      <c r="A35" s="21" t="s">
        <v>268</v>
      </c>
      <c r="B35" s="21" t="s">
        <v>43</v>
      </c>
      <c r="C35" s="21">
        <v>160</v>
      </c>
      <c r="D35" s="21">
        <v>478</v>
      </c>
      <c r="E35" s="21">
        <v>435034</v>
      </c>
      <c r="F35" s="21">
        <v>7.73</v>
      </c>
      <c r="G35" s="21">
        <v>4839</v>
      </c>
      <c r="H35" s="21">
        <f t="shared" si="0"/>
        <v>435352</v>
      </c>
      <c r="I35" s="23">
        <f t="shared" si="1"/>
        <v>-7.3044341130855037E-4</v>
      </c>
      <c r="J35">
        <f t="shared" si="2"/>
        <v>-318</v>
      </c>
    </row>
    <row r="36" spans="1:10" ht="15.75" customHeight="1" x14ac:dyDescent="0.3">
      <c r="A36" s="21" t="s">
        <v>268</v>
      </c>
      <c r="B36" s="21" t="s">
        <v>14</v>
      </c>
      <c r="C36" s="21">
        <v>1756</v>
      </c>
      <c r="D36" s="21">
        <v>261</v>
      </c>
      <c r="E36" s="21">
        <v>287574</v>
      </c>
      <c r="F36" s="21">
        <v>4.3600000000000003</v>
      </c>
      <c r="G36" s="21">
        <v>39272</v>
      </c>
      <c r="H36" s="21">
        <f t="shared" si="0"/>
        <v>286079</v>
      </c>
      <c r="I36" s="23">
        <f t="shared" si="1"/>
        <v>5.2258292289891952E-3</v>
      </c>
      <c r="J36">
        <f t="shared" si="2"/>
        <v>1495</v>
      </c>
    </row>
    <row r="37" spans="1:10" ht="15.75" customHeight="1" x14ac:dyDescent="0.3">
      <c r="A37" s="21" t="s">
        <v>268</v>
      </c>
      <c r="B37" s="21" t="s">
        <v>27</v>
      </c>
      <c r="C37" s="21">
        <v>576</v>
      </c>
      <c r="D37" s="21">
        <v>101</v>
      </c>
      <c r="E37" s="21">
        <v>62499</v>
      </c>
      <c r="F37" s="21">
        <v>3.48</v>
      </c>
      <c r="G37" s="21">
        <v>16804</v>
      </c>
      <c r="H37" s="21">
        <f t="shared" si="0"/>
        <v>62024</v>
      </c>
      <c r="I37" s="23">
        <f t="shared" si="1"/>
        <v>7.6583258093641171E-3</v>
      </c>
      <c r="J37">
        <f t="shared" si="2"/>
        <v>475</v>
      </c>
    </row>
    <row r="38" spans="1:10" ht="15.75" customHeight="1" x14ac:dyDescent="0.3">
      <c r="A38" s="21" t="s">
        <v>501</v>
      </c>
      <c r="B38" s="21" t="s">
        <v>33</v>
      </c>
      <c r="C38" s="21">
        <v>645</v>
      </c>
      <c r="D38" s="21">
        <v>293</v>
      </c>
      <c r="E38" s="21">
        <v>437968</v>
      </c>
      <c r="F38" s="21">
        <v>7.83</v>
      </c>
      <c r="G38" s="21">
        <v>49303</v>
      </c>
      <c r="H38" s="21">
        <f t="shared" si="0"/>
        <v>437616</v>
      </c>
      <c r="I38" s="23">
        <f t="shared" si="1"/>
        <v>8.0435815875105118E-4</v>
      </c>
      <c r="J38">
        <f t="shared" si="2"/>
        <v>352</v>
      </c>
    </row>
    <row r="39" spans="1:10" ht="15.75" customHeight="1" x14ac:dyDescent="0.3">
      <c r="A39" s="21" t="s">
        <v>501</v>
      </c>
      <c r="B39" s="21" t="s">
        <v>43</v>
      </c>
      <c r="C39" s="21">
        <v>214</v>
      </c>
      <c r="D39" s="21">
        <v>411</v>
      </c>
      <c r="E39" s="21">
        <v>125034</v>
      </c>
      <c r="F39" s="21">
        <v>6.11</v>
      </c>
      <c r="G39" s="21">
        <v>26455</v>
      </c>
      <c r="H39" s="21">
        <f t="shared" si="0"/>
        <v>125231</v>
      </c>
      <c r="I39" s="23">
        <f t="shared" si="1"/>
        <v>-1.573092924275938E-3</v>
      </c>
      <c r="J39">
        <f t="shared" si="2"/>
        <v>-197</v>
      </c>
    </row>
    <row r="40" spans="1:10" ht="15.75" customHeight="1" x14ac:dyDescent="0.3">
      <c r="A40" s="21" t="s">
        <v>501</v>
      </c>
      <c r="B40" s="21" t="s">
        <v>14</v>
      </c>
      <c r="C40" s="21">
        <v>826</v>
      </c>
      <c r="D40" s="21">
        <v>498</v>
      </c>
      <c r="E40" s="21">
        <v>449994</v>
      </c>
      <c r="F40" s="21">
        <v>9.43</v>
      </c>
      <c r="G40" s="21">
        <v>12384</v>
      </c>
      <c r="H40" s="21">
        <f t="shared" si="0"/>
        <v>449666</v>
      </c>
      <c r="I40" s="23">
        <f t="shared" si="1"/>
        <v>7.294302882583962E-4</v>
      </c>
      <c r="J40">
        <f t="shared" si="2"/>
        <v>328</v>
      </c>
    </row>
    <row r="41" spans="1:10" ht="15.75" customHeight="1" x14ac:dyDescent="0.3">
      <c r="A41" s="21" t="s">
        <v>501</v>
      </c>
      <c r="B41" s="21" t="s">
        <v>27</v>
      </c>
      <c r="C41" s="21">
        <v>460</v>
      </c>
      <c r="D41" s="21">
        <v>141</v>
      </c>
      <c r="E41" s="21">
        <v>320650</v>
      </c>
      <c r="F41" s="21">
        <v>4.04</v>
      </c>
      <c r="G41" s="21">
        <v>49372</v>
      </c>
      <c r="H41" s="21">
        <f t="shared" si="0"/>
        <v>320331</v>
      </c>
      <c r="I41" s="23">
        <f t="shared" si="1"/>
        <v>9.9584492290786717E-4</v>
      </c>
      <c r="J41">
        <f t="shared" si="2"/>
        <v>319</v>
      </c>
    </row>
    <row r="42" spans="1:10" ht="15.75" customHeight="1" x14ac:dyDescent="0.3">
      <c r="A42" s="21" t="s">
        <v>34</v>
      </c>
      <c r="B42" s="21" t="s">
        <v>33</v>
      </c>
      <c r="C42" s="21">
        <v>1528</v>
      </c>
      <c r="D42" s="21">
        <v>203</v>
      </c>
      <c r="E42" s="21">
        <v>489188</v>
      </c>
      <c r="F42" s="21">
        <v>6.23</v>
      </c>
      <c r="G42" s="21">
        <v>47101</v>
      </c>
      <c r="H42" s="21">
        <f t="shared" si="0"/>
        <v>487863</v>
      </c>
      <c r="I42" s="23">
        <f t="shared" si="1"/>
        <v>2.7159263973697534E-3</v>
      </c>
      <c r="J42">
        <f t="shared" si="2"/>
        <v>1325</v>
      </c>
    </row>
    <row r="43" spans="1:10" ht="15.75" customHeight="1" x14ac:dyDescent="0.3">
      <c r="A43" s="21" t="s">
        <v>34</v>
      </c>
      <c r="B43" s="21" t="s">
        <v>43</v>
      </c>
      <c r="C43" s="21">
        <v>1534</v>
      </c>
      <c r="D43" s="21">
        <v>200</v>
      </c>
      <c r="E43" s="21">
        <v>307612</v>
      </c>
      <c r="F43" s="21">
        <v>6.01</v>
      </c>
      <c r="G43" s="21">
        <v>37903</v>
      </c>
      <c r="H43" s="21">
        <f t="shared" si="0"/>
        <v>306278</v>
      </c>
      <c r="I43" s="23">
        <f t="shared" si="1"/>
        <v>4.3555201483619459E-3</v>
      </c>
      <c r="J43">
        <f t="shared" si="2"/>
        <v>1334</v>
      </c>
    </row>
    <row r="44" spans="1:10" ht="15.75" customHeight="1" x14ac:dyDescent="0.3">
      <c r="A44" s="21" t="s">
        <v>34</v>
      </c>
      <c r="B44" s="21" t="s">
        <v>14</v>
      </c>
      <c r="C44" s="21">
        <v>485</v>
      </c>
      <c r="D44" s="21">
        <v>448</v>
      </c>
      <c r="E44" s="21">
        <v>434883</v>
      </c>
      <c r="F44" s="21">
        <v>8.5500000000000007</v>
      </c>
      <c r="G44" s="21">
        <v>33258</v>
      </c>
      <c r="H44" s="21">
        <f t="shared" si="0"/>
        <v>434846</v>
      </c>
      <c r="I44" s="23">
        <f t="shared" si="1"/>
        <v>8.5087594228761446E-5</v>
      </c>
      <c r="J44">
        <f t="shared" si="2"/>
        <v>37</v>
      </c>
    </row>
    <row r="45" spans="1:10" ht="15.75" customHeight="1" x14ac:dyDescent="0.3">
      <c r="A45" s="21" t="s">
        <v>34</v>
      </c>
      <c r="B45" s="21" t="s">
        <v>27</v>
      </c>
      <c r="C45" s="21">
        <v>1210</v>
      </c>
      <c r="D45" s="21">
        <v>178</v>
      </c>
      <c r="E45" s="21">
        <v>102042</v>
      </c>
      <c r="F45" s="21">
        <v>5.42</v>
      </c>
      <c r="G45" s="21">
        <v>6915</v>
      </c>
      <c r="H45" s="21">
        <f t="shared" si="0"/>
        <v>101010</v>
      </c>
      <c r="I45" s="23">
        <f t="shared" si="1"/>
        <v>1.0216810216810217E-2</v>
      </c>
      <c r="J45">
        <f t="shared" si="2"/>
        <v>1032</v>
      </c>
    </row>
    <row r="46" spans="1:10" ht="15.75" customHeight="1" x14ac:dyDescent="0.3">
      <c r="A46" s="21" t="s">
        <v>81</v>
      </c>
      <c r="B46" s="21" t="s">
        <v>33</v>
      </c>
      <c r="C46" s="21">
        <v>215</v>
      </c>
      <c r="D46" s="21">
        <v>139</v>
      </c>
      <c r="E46" s="21">
        <v>325444</v>
      </c>
      <c r="F46" s="21">
        <v>3.25</v>
      </c>
      <c r="G46" s="21">
        <v>35501</v>
      </c>
      <c r="H46" s="21">
        <f t="shared" si="0"/>
        <v>325368</v>
      </c>
      <c r="I46" s="23">
        <f t="shared" si="1"/>
        <v>2.3358166752723071E-4</v>
      </c>
      <c r="J46">
        <f t="shared" si="2"/>
        <v>76</v>
      </c>
    </row>
    <row r="47" spans="1:10" ht="15.75" customHeight="1" x14ac:dyDescent="0.3">
      <c r="A47" s="21" t="s">
        <v>81</v>
      </c>
      <c r="B47" s="21" t="s">
        <v>43</v>
      </c>
      <c r="C47" s="21">
        <v>1078</v>
      </c>
      <c r="D47" s="21">
        <v>20</v>
      </c>
      <c r="E47" s="21">
        <v>183924</v>
      </c>
      <c r="F47" s="21">
        <v>8.84</v>
      </c>
      <c r="G47" s="21">
        <v>14203</v>
      </c>
      <c r="H47" s="21">
        <f t="shared" si="0"/>
        <v>182866</v>
      </c>
      <c r="I47" s="23">
        <f t="shared" si="1"/>
        <v>5.7856572572266033E-3</v>
      </c>
      <c r="J47">
        <f t="shared" si="2"/>
        <v>1058</v>
      </c>
    </row>
    <row r="48" spans="1:10" ht="15.75" customHeight="1" x14ac:dyDescent="0.3">
      <c r="A48" s="21" t="s">
        <v>81</v>
      </c>
      <c r="B48" s="21" t="s">
        <v>14</v>
      </c>
      <c r="C48" s="21">
        <v>1751</v>
      </c>
      <c r="D48" s="21">
        <v>86</v>
      </c>
      <c r="E48" s="21">
        <v>188655</v>
      </c>
      <c r="F48" s="21">
        <v>7.24</v>
      </c>
      <c r="G48" s="21">
        <v>22206</v>
      </c>
      <c r="H48" s="21">
        <f t="shared" si="0"/>
        <v>186990</v>
      </c>
      <c r="I48" s="23">
        <f t="shared" si="1"/>
        <v>8.9042194769773791E-3</v>
      </c>
      <c r="J48">
        <f t="shared" si="2"/>
        <v>1665</v>
      </c>
    </row>
    <row r="49" spans="1:10" ht="15.75" customHeight="1" x14ac:dyDescent="0.3">
      <c r="A49" s="21" t="s">
        <v>81</v>
      </c>
      <c r="B49" s="21" t="s">
        <v>27</v>
      </c>
      <c r="C49" s="21">
        <v>221</v>
      </c>
      <c r="D49" s="21">
        <v>31</v>
      </c>
      <c r="E49" s="21">
        <v>87443</v>
      </c>
      <c r="F49" s="21">
        <v>6.19</v>
      </c>
      <c r="G49" s="21">
        <v>10283</v>
      </c>
      <c r="H49" s="21">
        <f t="shared" si="0"/>
        <v>87253</v>
      </c>
      <c r="I49" s="23">
        <f t="shared" si="1"/>
        <v>2.1775755561413363E-3</v>
      </c>
      <c r="J49">
        <f t="shared" si="2"/>
        <v>190</v>
      </c>
    </row>
    <row r="50" spans="1:10" ht="15.75" customHeight="1" x14ac:dyDescent="0.3">
      <c r="A50" s="21" t="s">
        <v>77</v>
      </c>
      <c r="B50" s="21" t="s">
        <v>33</v>
      </c>
      <c r="C50" s="21">
        <v>1685</v>
      </c>
      <c r="D50" s="21">
        <v>76</v>
      </c>
      <c r="E50" s="21">
        <v>453799</v>
      </c>
      <c r="F50" s="21">
        <v>5.71</v>
      </c>
      <c r="G50" s="21">
        <v>24913</v>
      </c>
      <c r="H50" s="21">
        <f t="shared" si="0"/>
        <v>452190</v>
      </c>
      <c r="I50" s="23">
        <f t="shared" si="1"/>
        <v>3.5582387934275416E-3</v>
      </c>
      <c r="J50">
        <f t="shared" si="2"/>
        <v>1609</v>
      </c>
    </row>
    <row r="51" spans="1:10" ht="15.75" customHeight="1" x14ac:dyDescent="0.3">
      <c r="A51" s="21" t="s">
        <v>77</v>
      </c>
      <c r="B51" s="21" t="s">
        <v>43</v>
      </c>
      <c r="C51" s="21">
        <v>248</v>
      </c>
      <c r="D51" s="21">
        <v>211</v>
      </c>
      <c r="E51" s="21">
        <v>379380</v>
      </c>
      <c r="F51" s="21">
        <v>9.0399999999999991</v>
      </c>
      <c r="G51" s="21">
        <v>26925</v>
      </c>
      <c r="H51" s="21">
        <f t="shared" si="0"/>
        <v>379343</v>
      </c>
      <c r="I51" s="23">
        <f t="shared" si="1"/>
        <v>9.7537057491505044E-5</v>
      </c>
      <c r="J51">
        <f t="shared" si="2"/>
        <v>37</v>
      </c>
    </row>
    <row r="52" spans="1:10" ht="15.75" customHeight="1" x14ac:dyDescent="0.3">
      <c r="A52" s="21" t="s">
        <v>77</v>
      </c>
      <c r="B52" s="21" t="s">
        <v>14</v>
      </c>
      <c r="C52" s="21">
        <v>1300</v>
      </c>
      <c r="D52" s="21">
        <v>71</v>
      </c>
      <c r="E52" s="21">
        <v>186454</v>
      </c>
      <c r="F52" s="21">
        <v>3.91</v>
      </c>
      <c r="G52" s="21">
        <v>9942</v>
      </c>
      <c r="H52" s="21">
        <f t="shared" si="0"/>
        <v>185225</v>
      </c>
      <c r="I52" s="23">
        <f t="shared" si="1"/>
        <v>6.6351734377108921E-3</v>
      </c>
      <c r="J52">
        <f t="shared" si="2"/>
        <v>1229</v>
      </c>
    </row>
    <row r="53" spans="1:10" ht="15.75" customHeight="1" x14ac:dyDescent="0.3">
      <c r="A53" s="21" t="s">
        <v>77</v>
      </c>
      <c r="B53" s="21" t="s">
        <v>27</v>
      </c>
      <c r="C53" s="21">
        <v>422</v>
      </c>
      <c r="D53" s="21">
        <v>394</v>
      </c>
      <c r="E53" s="21">
        <v>239044</v>
      </c>
      <c r="F53" s="21">
        <v>7.83</v>
      </c>
      <c r="G53" s="21">
        <v>32929</v>
      </c>
      <c r="H53" s="21">
        <f t="shared" si="0"/>
        <v>239016</v>
      </c>
      <c r="I53" s="23">
        <f t="shared" si="1"/>
        <v>1.1714696924055294E-4</v>
      </c>
      <c r="J53">
        <f t="shared" si="2"/>
        <v>28</v>
      </c>
    </row>
    <row r="54" spans="1:10" ht="15.75" customHeight="1" x14ac:dyDescent="0.3">
      <c r="A54" s="21" t="s">
        <v>195</v>
      </c>
      <c r="B54" s="21" t="s">
        <v>33</v>
      </c>
      <c r="C54" s="21">
        <v>1429</v>
      </c>
      <c r="D54" s="21">
        <v>182</v>
      </c>
      <c r="E54" s="21">
        <v>101332</v>
      </c>
      <c r="F54" s="21">
        <v>7.16</v>
      </c>
      <c r="G54" s="21">
        <v>37829</v>
      </c>
      <c r="H54" s="21">
        <f t="shared" si="0"/>
        <v>100085</v>
      </c>
      <c r="I54" s="23">
        <f t="shared" si="1"/>
        <v>1.2459409501923365E-2</v>
      </c>
      <c r="J54">
        <f t="shared" si="2"/>
        <v>1247</v>
      </c>
    </row>
    <row r="55" spans="1:10" ht="15.75" customHeight="1" x14ac:dyDescent="0.3">
      <c r="A55" s="21" t="s">
        <v>195</v>
      </c>
      <c r="B55" s="21" t="s">
        <v>43</v>
      </c>
      <c r="C55" s="21">
        <v>1520</v>
      </c>
      <c r="D55" s="21">
        <v>475</v>
      </c>
      <c r="E55" s="21">
        <v>496982</v>
      </c>
      <c r="F55" s="21">
        <v>6.41</v>
      </c>
      <c r="G55" s="21">
        <v>24384</v>
      </c>
      <c r="H55" s="21">
        <f t="shared" si="0"/>
        <v>495937</v>
      </c>
      <c r="I55" s="23">
        <f t="shared" si="1"/>
        <v>2.1071224772501347E-3</v>
      </c>
      <c r="J55">
        <f t="shared" si="2"/>
        <v>1045</v>
      </c>
    </row>
    <row r="56" spans="1:10" ht="15.75" customHeight="1" x14ac:dyDescent="0.3">
      <c r="A56" s="21" t="s">
        <v>195</v>
      </c>
      <c r="B56" s="21" t="s">
        <v>14</v>
      </c>
      <c r="C56" s="21">
        <v>557</v>
      </c>
      <c r="D56" s="21">
        <v>360</v>
      </c>
      <c r="E56" s="21">
        <v>318779</v>
      </c>
      <c r="F56" s="21">
        <v>8.02</v>
      </c>
      <c r="G56" s="21">
        <v>25797</v>
      </c>
      <c r="H56" s="21">
        <f t="shared" si="0"/>
        <v>318582</v>
      </c>
      <c r="I56" s="23">
        <f t="shared" si="1"/>
        <v>6.1836513048445924E-4</v>
      </c>
      <c r="J56">
        <f t="shared" si="2"/>
        <v>197</v>
      </c>
    </row>
    <row r="57" spans="1:10" ht="15.75" customHeight="1" x14ac:dyDescent="0.3">
      <c r="A57" s="21" t="s">
        <v>195</v>
      </c>
      <c r="B57" s="21" t="s">
        <v>27</v>
      </c>
      <c r="C57" s="21">
        <v>728</v>
      </c>
      <c r="D57" s="21">
        <v>395</v>
      </c>
      <c r="E57" s="21">
        <v>370971</v>
      </c>
      <c r="F57" s="21">
        <v>3.86</v>
      </c>
      <c r="G57" s="21">
        <v>12646</v>
      </c>
      <c r="H57" s="21">
        <f t="shared" si="0"/>
        <v>370638</v>
      </c>
      <c r="I57" s="23">
        <f t="shared" si="1"/>
        <v>8.9845077946675727E-4</v>
      </c>
      <c r="J57">
        <f t="shared" si="2"/>
        <v>333</v>
      </c>
    </row>
    <row r="58" spans="1:10" ht="15.75" customHeight="1" x14ac:dyDescent="0.3">
      <c r="A58" s="21" t="s">
        <v>87</v>
      </c>
      <c r="B58" s="21" t="s">
        <v>33</v>
      </c>
      <c r="C58" s="21">
        <v>1592</v>
      </c>
      <c r="D58" s="21">
        <v>20</v>
      </c>
      <c r="E58" s="21">
        <v>378054</v>
      </c>
      <c r="F58" s="21">
        <v>9.09</v>
      </c>
      <c r="G58" s="21">
        <v>26663</v>
      </c>
      <c r="H58" s="21">
        <f t="shared" si="0"/>
        <v>376482</v>
      </c>
      <c r="I58" s="23">
        <f t="shared" si="1"/>
        <v>4.1754984302038341E-3</v>
      </c>
      <c r="J58">
        <f t="shared" si="2"/>
        <v>1572</v>
      </c>
    </row>
    <row r="59" spans="1:10" ht="15.75" customHeight="1" x14ac:dyDescent="0.3">
      <c r="A59" s="21" t="s">
        <v>87</v>
      </c>
      <c r="B59" s="21" t="s">
        <v>43</v>
      </c>
      <c r="C59" s="21">
        <v>1842</v>
      </c>
      <c r="D59" s="21">
        <v>414</v>
      </c>
      <c r="E59" s="21">
        <v>307524</v>
      </c>
      <c r="F59" s="21">
        <v>1.76</v>
      </c>
      <c r="G59" s="21">
        <v>40478</v>
      </c>
      <c r="H59" s="21">
        <f t="shared" si="0"/>
        <v>306096</v>
      </c>
      <c r="I59" s="23">
        <f t="shared" si="1"/>
        <v>4.6652030735455539E-3</v>
      </c>
      <c r="J59">
        <f t="shared" si="2"/>
        <v>1428</v>
      </c>
    </row>
    <row r="60" spans="1:10" ht="15.75" customHeight="1" x14ac:dyDescent="0.3">
      <c r="A60" s="21" t="s">
        <v>87</v>
      </c>
      <c r="B60" s="21" t="s">
        <v>14</v>
      </c>
      <c r="C60" s="21">
        <v>751</v>
      </c>
      <c r="D60" s="21">
        <v>491</v>
      </c>
      <c r="E60" s="21">
        <v>434047</v>
      </c>
      <c r="F60" s="21">
        <v>9.24</v>
      </c>
      <c r="G60" s="21">
        <v>15476</v>
      </c>
      <c r="H60" s="21">
        <f t="shared" si="0"/>
        <v>433787</v>
      </c>
      <c r="I60" s="23">
        <f t="shared" si="1"/>
        <v>5.9937250309483687E-4</v>
      </c>
      <c r="J60">
        <f t="shared" si="2"/>
        <v>260</v>
      </c>
    </row>
    <row r="61" spans="1:10" ht="15.75" customHeight="1" x14ac:dyDescent="0.3">
      <c r="A61" s="21" t="s">
        <v>87</v>
      </c>
      <c r="B61" s="21" t="s">
        <v>27</v>
      </c>
      <c r="C61" s="21">
        <v>1409</v>
      </c>
      <c r="D61" s="21">
        <v>309</v>
      </c>
      <c r="E61" s="21">
        <v>64583</v>
      </c>
      <c r="F61" s="21">
        <v>8.99</v>
      </c>
      <c r="G61" s="21">
        <v>10217</v>
      </c>
      <c r="H61" s="21">
        <f t="shared" si="0"/>
        <v>63483</v>
      </c>
      <c r="I61" s="23">
        <f t="shared" si="1"/>
        <v>1.7327473496841675E-2</v>
      </c>
      <c r="J61">
        <f t="shared" si="2"/>
        <v>1100</v>
      </c>
    </row>
    <row r="62" spans="1:10" ht="15.75" customHeight="1" x14ac:dyDescent="0.3">
      <c r="A62" s="21" t="s">
        <v>575</v>
      </c>
      <c r="B62" s="21" t="s">
        <v>33</v>
      </c>
      <c r="C62" s="21">
        <v>778</v>
      </c>
      <c r="D62" s="21">
        <v>401</v>
      </c>
      <c r="E62" s="21">
        <v>50793</v>
      </c>
      <c r="F62" s="21">
        <v>3.4</v>
      </c>
      <c r="G62" s="21">
        <v>21939</v>
      </c>
      <c r="H62" s="21">
        <f t="shared" si="0"/>
        <v>50416</v>
      </c>
      <c r="I62" s="23">
        <f t="shared" si="1"/>
        <v>7.4777848302126308E-3</v>
      </c>
      <c r="J62">
        <f t="shared" si="2"/>
        <v>377</v>
      </c>
    </row>
    <row r="63" spans="1:10" ht="15.75" customHeight="1" x14ac:dyDescent="0.3">
      <c r="A63" s="21" t="s">
        <v>575</v>
      </c>
      <c r="B63" s="21" t="s">
        <v>43</v>
      </c>
      <c r="C63" s="21">
        <v>443</v>
      </c>
      <c r="D63" s="21">
        <v>345</v>
      </c>
      <c r="E63" s="21">
        <v>474162</v>
      </c>
      <c r="F63" s="21">
        <v>9.1999999999999993</v>
      </c>
      <c r="G63" s="21">
        <v>47462</v>
      </c>
      <c r="H63" s="21">
        <f t="shared" si="0"/>
        <v>474064</v>
      </c>
      <c r="I63" s="23">
        <f t="shared" si="1"/>
        <v>2.0672314286678591E-4</v>
      </c>
      <c r="J63">
        <f t="shared" si="2"/>
        <v>98</v>
      </c>
    </row>
    <row r="64" spans="1:10" ht="15.75" customHeight="1" x14ac:dyDescent="0.3">
      <c r="A64" s="21" t="s">
        <v>575</v>
      </c>
      <c r="B64" s="21" t="s">
        <v>14</v>
      </c>
      <c r="C64" s="21">
        <v>1472</v>
      </c>
      <c r="D64" s="21">
        <v>347</v>
      </c>
      <c r="E64" s="21">
        <v>392355</v>
      </c>
      <c r="F64" s="21">
        <v>8.59</v>
      </c>
      <c r="G64" s="21">
        <v>30270</v>
      </c>
      <c r="H64" s="21">
        <f t="shared" si="0"/>
        <v>391230</v>
      </c>
      <c r="I64" s="23">
        <f t="shared" si="1"/>
        <v>2.8755463538072232E-3</v>
      </c>
      <c r="J64">
        <f t="shared" si="2"/>
        <v>1125</v>
      </c>
    </row>
    <row r="65" spans="1:10" ht="15.75" customHeight="1" x14ac:dyDescent="0.3">
      <c r="A65" s="21" t="s">
        <v>575</v>
      </c>
      <c r="B65" s="21" t="s">
        <v>27</v>
      </c>
      <c r="C65" s="21">
        <v>123</v>
      </c>
      <c r="D65" s="21">
        <v>155</v>
      </c>
      <c r="E65" s="21">
        <v>119934</v>
      </c>
      <c r="F65" s="21">
        <v>3.5</v>
      </c>
      <c r="G65" s="21">
        <v>5442</v>
      </c>
      <c r="H65" s="21">
        <f t="shared" si="0"/>
        <v>119966</v>
      </c>
      <c r="I65" s="23">
        <f t="shared" si="1"/>
        <v>-2.6674224363569678E-4</v>
      </c>
      <c r="J65">
        <f t="shared" si="2"/>
        <v>-32</v>
      </c>
    </row>
    <row r="66" spans="1:10" ht="15.75" customHeight="1" x14ac:dyDescent="0.3">
      <c r="A66" s="21" t="s">
        <v>576</v>
      </c>
      <c r="B66" s="21" t="s">
        <v>33</v>
      </c>
      <c r="C66" s="21">
        <v>817</v>
      </c>
      <c r="D66" s="21">
        <v>151</v>
      </c>
      <c r="E66" s="21">
        <v>422625</v>
      </c>
      <c r="F66" s="21">
        <v>2.36</v>
      </c>
      <c r="G66" s="21">
        <v>1083</v>
      </c>
      <c r="H66" s="21">
        <f t="shared" si="0"/>
        <v>421959</v>
      </c>
      <c r="I66" s="23">
        <f t="shared" si="1"/>
        <v>1.5783523991667436E-3</v>
      </c>
      <c r="J66">
        <f t="shared" si="2"/>
        <v>666</v>
      </c>
    </row>
    <row r="67" spans="1:10" ht="15.75" customHeight="1" x14ac:dyDescent="0.3">
      <c r="A67" s="21" t="s">
        <v>576</v>
      </c>
      <c r="B67" s="21" t="s">
        <v>43</v>
      </c>
      <c r="C67" s="21">
        <v>198</v>
      </c>
      <c r="D67" s="21">
        <v>217</v>
      </c>
      <c r="E67" s="21">
        <v>239753</v>
      </c>
      <c r="F67" s="21">
        <v>7.36</v>
      </c>
      <c r="G67" s="21">
        <v>11901</v>
      </c>
      <c r="H67" s="21">
        <f t="shared" ref="H67:H130" si="3">E67-C67+D67</f>
        <v>239772</v>
      </c>
      <c r="I67" s="23">
        <f t="shared" ref="I67:I130" si="4">(E67-H67)/H67</f>
        <v>-7.9241946515856736E-5</v>
      </c>
      <c r="J67">
        <f t="shared" ref="J67:J130" si="5">C67-D67</f>
        <v>-19</v>
      </c>
    </row>
    <row r="68" spans="1:10" ht="15.75" customHeight="1" x14ac:dyDescent="0.3">
      <c r="A68" s="21" t="s">
        <v>576</v>
      </c>
      <c r="B68" s="21" t="s">
        <v>14</v>
      </c>
      <c r="C68" s="21">
        <v>1911</v>
      </c>
      <c r="D68" s="21">
        <v>231</v>
      </c>
      <c r="E68" s="21">
        <v>268516</v>
      </c>
      <c r="F68" s="21">
        <v>8.5500000000000007</v>
      </c>
      <c r="G68" s="21">
        <v>24018</v>
      </c>
      <c r="H68" s="21">
        <f t="shared" si="3"/>
        <v>266836</v>
      </c>
      <c r="I68" s="23">
        <f t="shared" si="4"/>
        <v>6.2960020387054219E-3</v>
      </c>
      <c r="J68">
        <f t="shared" si="5"/>
        <v>1680</v>
      </c>
    </row>
    <row r="69" spans="1:10" ht="15.75" customHeight="1" x14ac:dyDescent="0.3">
      <c r="A69" s="21" t="s">
        <v>576</v>
      </c>
      <c r="B69" s="21" t="s">
        <v>27</v>
      </c>
      <c r="C69" s="21">
        <v>1218</v>
      </c>
      <c r="D69" s="21">
        <v>212</v>
      </c>
      <c r="E69" s="21">
        <v>63177</v>
      </c>
      <c r="F69" s="21">
        <v>8.1300000000000008</v>
      </c>
      <c r="G69" s="21">
        <v>38883</v>
      </c>
      <c r="H69" s="21">
        <f t="shared" si="3"/>
        <v>62171</v>
      </c>
      <c r="I69" s="23">
        <f t="shared" si="4"/>
        <v>1.6181177719515528E-2</v>
      </c>
      <c r="J69">
        <f t="shared" si="5"/>
        <v>1006</v>
      </c>
    </row>
    <row r="70" spans="1:10" ht="15.75" customHeight="1" x14ac:dyDescent="0.3">
      <c r="A70" s="21" t="s">
        <v>577</v>
      </c>
      <c r="B70" s="21" t="s">
        <v>33</v>
      </c>
      <c r="C70" s="21">
        <v>1433</v>
      </c>
      <c r="D70" s="21">
        <v>408</v>
      </c>
      <c r="E70" s="21">
        <v>370269</v>
      </c>
      <c r="F70" s="21">
        <v>3.3</v>
      </c>
      <c r="G70" s="21">
        <v>30575</v>
      </c>
      <c r="H70" s="21">
        <f t="shared" si="3"/>
        <v>369244</v>
      </c>
      <c r="I70" s="23">
        <f t="shared" si="4"/>
        <v>2.7759421954046647E-3</v>
      </c>
      <c r="J70">
        <f t="shared" si="5"/>
        <v>1025</v>
      </c>
    </row>
    <row r="71" spans="1:10" ht="15.75" customHeight="1" x14ac:dyDescent="0.3">
      <c r="A71" s="21" t="s">
        <v>577</v>
      </c>
      <c r="B71" s="21" t="s">
        <v>43</v>
      </c>
      <c r="C71" s="21">
        <v>250</v>
      </c>
      <c r="D71" s="21">
        <v>429</v>
      </c>
      <c r="E71" s="21">
        <v>453423</v>
      </c>
      <c r="F71" s="21">
        <v>1.77</v>
      </c>
      <c r="G71" s="21">
        <v>2315</v>
      </c>
      <c r="H71" s="21">
        <f t="shared" si="3"/>
        <v>453602</v>
      </c>
      <c r="I71" s="23">
        <f t="shared" si="4"/>
        <v>-3.9461907134448259E-4</v>
      </c>
      <c r="J71">
        <f t="shared" si="5"/>
        <v>-179</v>
      </c>
    </row>
    <row r="72" spans="1:10" ht="15.75" customHeight="1" x14ac:dyDescent="0.3">
      <c r="A72" s="21" t="s">
        <v>577</v>
      </c>
      <c r="B72" s="21" t="s">
        <v>14</v>
      </c>
      <c r="C72" s="21">
        <v>752</v>
      </c>
      <c r="D72" s="21">
        <v>153</v>
      </c>
      <c r="E72" s="21">
        <v>64906</v>
      </c>
      <c r="F72" s="21">
        <v>2.09</v>
      </c>
      <c r="G72" s="21">
        <v>12148</v>
      </c>
      <c r="H72" s="21">
        <f t="shared" si="3"/>
        <v>64307</v>
      </c>
      <c r="I72" s="23">
        <f t="shared" si="4"/>
        <v>9.3146935792370964E-3</v>
      </c>
      <c r="J72">
        <f t="shared" si="5"/>
        <v>599</v>
      </c>
    </row>
    <row r="73" spans="1:10" ht="15.75" customHeight="1" x14ac:dyDescent="0.3">
      <c r="A73" s="21" t="s">
        <v>577</v>
      </c>
      <c r="B73" s="21" t="s">
        <v>27</v>
      </c>
      <c r="C73" s="21">
        <v>1918</v>
      </c>
      <c r="D73" s="21">
        <v>212</v>
      </c>
      <c r="E73" s="21">
        <v>94360</v>
      </c>
      <c r="F73" s="21">
        <v>7.36</v>
      </c>
      <c r="G73" s="21">
        <v>36851</v>
      </c>
      <c r="H73" s="21">
        <f t="shared" si="3"/>
        <v>92654</v>
      </c>
      <c r="I73" s="23">
        <f t="shared" si="4"/>
        <v>1.8412588771126989E-2</v>
      </c>
      <c r="J73">
        <f t="shared" si="5"/>
        <v>1706</v>
      </c>
    </row>
    <row r="74" spans="1:10" ht="15.75" customHeight="1" x14ac:dyDescent="0.3">
      <c r="A74" s="21" t="s">
        <v>578</v>
      </c>
      <c r="B74" s="21" t="s">
        <v>33</v>
      </c>
      <c r="C74" s="21">
        <v>1939</v>
      </c>
      <c r="D74" s="21">
        <v>67</v>
      </c>
      <c r="E74" s="21">
        <v>187183</v>
      </c>
      <c r="F74" s="21">
        <v>6.25</v>
      </c>
      <c r="G74" s="21">
        <v>41215</v>
      </c>
      <c r="H74" s="21">
        <f t="shared" si="3"/>
        <v>185311</v>
      </c>
      <c r="I74" s="23">
        <f t="shared" si="4"/>
        <v>1.0101936744176006E-2</v>
      </c>
      <c r="J74">
        <f t="shared" si="5"/>
        <v>1872</v>
      </c>
    </row>
    <row r="75" spans="1:10" ht="15.75" customHeight="1" x14ac:dyDescent="0.3">
      <c r="A75" s="21" t="s">
        <v>578</v>
      </c>
      <c r="B75" s="21" t="s">
        <v>43</v>
      </c>
      <c r="C75" s="21">
        <v>1929</v>
      </c>
      <c r="D75" s="21">
        <v>267</v>
      </c>
      <c r="E75" s="21">
        <v>379363</v>
      </c>
      <c r="F75" s="21">
        <v>1.75</v>
      </c>
      <c r="G75" s="21">
        <v>43836</v>
      </c>
      <c r="H75" s="21">
        <f t="shared" si="3"/>
        <v>377701</v>
      </c>
      <c r="I75" s="23">
        <f t="shared" si="4"/>
        <v>4.400306062202642E-3</v>
      </c>
      <c r="J75">
        <f t="shared" si="5"/>
        <v>1662</v>
      </c>
    </row>
    <row r="76" spans="1:10" ht="15.75" customHeight="1" x14ac:dyDescent="0.3">
      <c r="A76" s="21" t="s">
        <v>578</v>
      </c>
      <c r="B76" s="21" t="s">
        <v>14</v>
      </c>
      <c r="C76" s="21">
        <v>437</v>
      </c>
      <c r="D76" s="21">
        <v>330</v>
      </c>
      <c r="E76" s="21">
        <v>476486</v>
      </c>
      <c r="F76" s="21">
        <v>4.97</v>
      </c>
      <c r="G76" s="21">
        <v>4509</v>
      </c>
      <c r="H76" s="21">
        <f t="shared" si="3"/>
        <v>476379</v>
      </c>
      <c r="I76" s="23">
        <f t="shared" si="4"/>
        <v>2.2461107647482362E-4</v>
      </c>
      <c r="J76">
        <f t="shared" si="5"/>
        <v>107</v>
      </c>
    </row>
    <row r="77" spans="1:10" ht="15.75" customHeight="1" x14ac:dyDescent="0.3">
      <c r="A77" s="21" t="s">
        <v>578</v>
      </c>
      <c r="B77" s="21" t="s">
        <v>27</v>
      </c>
      <c r="C77" s="21">
        <v>307</v>
      </c>
      <c r="D77" s="21">
        <v>189</v>
      </c>
      <c r="E77" s="21">
        <v>117767</v>
      </c>
      <c r="F77" s="21">
        <v>9.3000000000000007</v>
      </c>
      <c r="G77" s="21">
        <v>27822</v>
      </c>
      <c r="H77" s="21">
        <f t="shared" si="3"/>
        <v>117649</v>
      </c>
      <c r="I77" s="23">
        <f t="shared" si="4"/>
        <v>1.0029834507730621E-3</v>
      </c>
      <c r="J77">
        <f t="shared" si="5"/>
        <v>118</v>
      </c>
    </row>
    <row r="78" spans="1:10" ht="15.75" customHeight="1" x14ac:dyDescent="0.3">
      <c r="A78" s="21" t="s">
        <v>579</v>
      </c>
      <c r="B78" s="21" t="s">
        <v>33</v>
      </c>
      <c r="C78" s="21">
        <v>1527</v>
      </c>
      <c r="D78" s="21">
        <v>303</v>
      </c>
      <c r="E78" s="21">
        <v>388555</v>
      </c>
      <c r="F78" s="21">
        <v>8.9</v>
      </c>
      <c r="G78" s="21">
        <v>36397</v>
      </c>
      <c r="H78" s="21">
        <f t="shared" si="3"/>
        <v>387331</v>
      </c>
      <c r="I78" s="23">
        <f t="shared" si="4"/>
        <v>3.1600878834898319E-3</v>
      </c>
      <c r="J78">
        <f t="shared" si="5"/>
        <v>1224</v>
      </c>
    </row>
    <row r="79" spans="1:10" ht="15.75" customHeight="1" x14ac:dyDescent="0.3">
      <c r="A79" s="21" t="s">
        <v>579</v>
      </c>
      <c r="B79" s="21" t="s">
        <v>43</v>
      </c>
      <c r="C79" s="21">
        <v>643</v>
      </c>
      <c r="D79" s="21">
        <v>358</v>
      </c>
      <c r="E79" s="21">
        <v>157599</v>
      </c>
      <c r="F79" s="21">
        <v>3.88</v>
      </c>
      <c r="G79" s="21">
        <v>7285</v>
      </c>
      <c r="H79" s="21">
        <f t="shared" si="3"/>
        <v>157314</v>
      </c>
      <c r="I79" s="23">
        <f t="shared" si="4"/>
        <v>1.8116632976086045E-3</v>
      </c>
      <c r="J79">
        <f t="shared" si="5"/>
        <v>285</v>
      </c>
    </row>
    <row r="80" spans="1:10" ht="15.75" customHeight="1" x14ac:dyDescent="0.3">
      <c r="A80" s="21" t="s">
        <v>579</v>
      </c>
      <c r="B80" s="21" t="s">
        <v>14</v>
      </c>
      <c r="C80" s="21">
        <v>201</v>
      </c>
      <c r="D80" s="21">
        <v>221</v>
      </c>
      <c r="E80" s="21">
        <v>309772</v>
      </c>
      <c r="F80" s="21">
        <v>5.9</v>
      </c>
      <c r="G80" s="21">
        <v>33174</v>
      </c>
      <c r="H80" s="21">
        <f t="shared" si="3"/>
        <v>309792</v>
      </c>
      <c r="I80" s="23">
        <f t="shared" si="4"/>
        <v>-6.45594463381882E-5</v>
      </c>
      <c r="J80">
        <f t="shared" si="5"/>
        <v>-20</v>
      </c>
    </row>
    <row r="81" spans="1:10" ht="15.75" customHeight="1" x14ac:dyDescent="0.3">
      <c r="A81" s="21" t="s">
        <v>579</v>
      </c>
      <c r="B81" s="21" t="s">
        <v>27</v>
      </c>
      <c r="C81" s="21">
        <v>414</v>
      </c>
      <c r="D81" s="21">
        <v>47</v>
      </c>
      <c r="E81" s="21">
        <v>199178</v>
      </c>
      <c r="F81" s="21">
        <v>1.53</v>
      </c>
      <c r="G81" s="21">
        <v>6742</v>
      </c>
      <c r="H81" s="21">
        <f t="shared" si="3"/>
        <v>198811</v>
      </c>
      <c r="I81" s="23">
        <f t="shared" si="4"/>
        <v>1.8459743173164463E-3</v>
      </c>
      <c r="J81">
        <f t="shared" si="5"/>
        <v>367</v>
      </c>
    </row>
    <row r="82" spans="1:10" ht="15.75" customHeight="1" x14ac:dyDescent="0.3">
      <c r="A82" s="21" t="s">
        <v>168</v>
      </c>
      <c r="B82" s="21" t="s">
        <v>33</v>
      </c>
      <c r="C82" s="21">
        <v>703</v>
      </c>
      <c r="D82" s="21">
        <v>441</v>
      </c>
      <c r="E82" s="21">
        <v>357089</v>
      </c>
      <c r="F82" s="21">
        <v>6.5</v>
      </c>
      <c r="G82" s="21">
        <v>32478</v>
      </c>
      <c r="H82" s="21">
        <f t="shared" si="3"/>
        <v>356827</v>
      </c>
      <c r="I82" s="23">
        <f t="shared" si="4"/>
        <v>7.3424937014295445E-4</v>
      </c>
      <c r="J82">
        <f t="shared" si="5"/>
        <v>262</v>
      </c>
    </row>
    <row r="83" spans="1:10" ht="15.75" customHeight="1" x14ac:dyDescent="0.3">
      <c r="A83" s="21" t="s">
        <v>168</v>
      </c>
      <c r="B83" s="21" t="s">
        <v>43</v>
      </c>
      <c r="C83" s="21">
        <v>508</v>
      </c>
      <c r="D83" s="21">
        <v>69</v>
      </c>
      <c r="E83" s="21">
        <v>23492</v>
      </c>
      <c r="F83" s="21">
        <v>3.16</v>
      </c>
      <c r="G83" s="21">
        <v>42824</v>
      </c>
      <c r="H83" s="21">
        <f t="shared" si="3"/>
        <v>23053</v>
      </c>
      <c r="I83" s="23">
        <f t="shared" si="4"/>
        <v>1.904307465405804E-2</v>
      </c>
      <c r="J83">
        <f t="shared" si="5"/>
        <v>439</v>
      </c>
    </row>
    <row r="84" spans="1:10" ht="15.75" customHeight="1" x14ac:dyDescent="0.3">
      <c r="A84" s="21" t="s">
        <v>168</v>
      </c>
      <c r="B84" s="21" t="s">
        <v>14</v>
      </c>
      <c r="C84" s="21">
        <v>697</v>
      </c>
      <c r="D84" s="21">
        <v>61</v>
      </c>
      <c r="E84" s="21">
        <v>258287</v>
      </c>
      <c r="F84" s="21">
        <v>8.25</v>
      </c>
      <c r="G84" s="21">
        <v>21208</v>
      </c>
      <c r="H84" s="21">
        <f t="shared" si="3"/>
        <v>257651</v>
      </c>
      <c r="I84" s="23">
        <f t="shared" si="4"/>
        <v>2.4684553912074862E-3</v>
      </c>
      <c r="J84">
        <f t="shared" si="5"/>
        <v>636</v>
      </c>
    </row>
    <row r="85" spans="1:10" ht="15.75" customHeight="1" x14ac:dyDescent="0.3">
      <c r="A85" s="21" t="s">
        <v>168</v>
      </c>
      <c r="B85" s="21" t="s">
        <v>27</v>
      </c>
      <c r="C85" s="21">
        <v>1707</v>
      </c>
      <c r="D85" s="21">
        <v>223</v>
      </c>
      <c r="E85" s="21">
        <v>256910</v>
      </c>
      <c r="F85" s="21">
        <v>5.41</v>
      </c>
      <c r="G85" s="21">
        <v>44321</v>
      </c>
      <c r="H85" s="21">
        <f t="shared" si="3"/>
        <v>255426</v>
      </c>
      <c r="I85" s="23">
        <f t="shared" si="4"/>
        <v>5.8099018893926222E-3</v>
      </c>
      <c r="J85">
        <f t="shared" si="5"/>
        <v>1484</v>
      </c>
    </row>
    <row r="86" spans="1:10" ht="15.75" customHeight="1" x14ac:dyDescent="0.3">
      <c r="A86" s="21" t="s">
        <v>201</v>
      </c>
      <c r="B86" s="21" t="s">
        <v>33</v>
      </c>
      <c r="C86" s="21">
        <v>642</v>
      </c>
      <c r="D86" s="21">
        <v>66</v>
      </c>
      <c r="E86" s="21">
        <v>346522</v>
      </c>
      <c r="F86" s="21">
        <v>5.85</v>
      </c>
      <c r="G86" s="21">
        <v>13116</v>
      </c>
      <c r="H86" s="21">
        <f t="shared" si="3"/>
        <v>345946</v>
      </c>
      <c r="I86" s="23">
        <f t="shared" si="4"/>
        <v>1.6649997398437907E-3</v>
      </c>
      <c r="J86">
        <f t="shared" si="5"/>
        <v>576</v>
      </c>
    </row>
    <row r="87" spans="1:10" ht="15.75" customHeight="1" x14ac:dyDescent="0.3">
      <c r="A87" s="21" t="s">
        <v>201</v>
      </c>
      <c r="B87" s="21" t="s">
        <v>43</v>
      </c>
      <c r="C87" s="21">
        <v>859</v>
      </c>
      <c r="D87" s="21">
        <v>473</v>
      </c>
      <c r="E87" s="21">
        <v>209987</v>
      </c>
      <c r="F87" s="21">
        <v>4.46</v>
      </c>
      <c r="G87" s="21">
        <v>30214</v>
      </c>
      <c r="H87" s="21">
        <f t="shared" si="3"/>
        <v>209601</v>
      </c>
      <c r="I87" s="23">
        <f t="shared" si="4"/>
        <v>1.8415942672029236E-3</v>
      </c>
      <c r="J87">
        <f t="shared" si="5"/>
        <v>386</v>
      </c>
    </row>
    <row r="88" spans="1:10" ht="15.75" customHeight="1" x14ac:dyDescent="0.3">
      <c r="A88" s="21" t="s">
        <v>201</v>
      </c>
      <c r="B88" s="21" t="s">
        <v>14</v>
      </c>
      <c r="C88" s="21">
        <v>191</v>
      </c>
      <c r="D88" s="21">
        <v>154</v>
      </c>
      <c r="E88" s="21">
        <v>240550</v>
      </c>
      <c r="F88" s="21">
        <v>5.22</v>
      </c>
      <c r="G88" s="21">
        <v>15827</v>
      </c>
      <c r="H88" s="21">
        <f t="shared" si="3"/>
        <v>240513</v>
      </c>
      <c r="I88" s="23">
        <f t="shared" si="4"/>
        <v>1.538378382873275E-4</v>
      </c>
      <c r="J88">
        <f t="shared" si="5"/>
        <v>37</v>
      </c>
    </row>
    <row r="89" spans="1:10" ht="15.75" customHeight="1" x14ac:dyDescent="0.3">
      <c r="A89" s="21" t="s">
        <v>201</v>
      </c>
      <c r="B89" s="21" t="s">
        <v>27</v>
      </c>
      <c r="C89" s="21">
        <v>1814</v>
      </c>
      <c r="D89" s="21">
        <v>157</v>
      </c>
      <c r="E89" s="21">
        <v>305827</v>
      </c>
      <c r="F89" s="21">
        <v>1.99</v>
      </c>
      <c r="G89" s="21">
        <v>46643</v>
      </c>
      <c r="H89" s="21">
        <f t="shared" si="3"/>
        <v>304170</v>
      </c>
      <c r="I89" s="23">
        <f t="shared" si="4"/>
        <v>5.4476115330242955E-3</v>
      </c>
      <c r="J89">
        <f t="shared" si="5"/>
        <v>1657</v>
      </c>
    </row>
    <row r="90" spans="1:10" ht="15.75" customHeight="1" x14ac:dyDescent="0.3">
      <c r="A90" s="21" t="s">
        <v>282</v>
      </c>
      <c r="B90" s="21" t="s">
        <v>33</v>
      </c>
      <c r="C90" s="21">
        <v>1466</v>
      </c>
      <c r="D90" s="21">
        <v>69</v>
      </c>
      <c r="E90" s="21">
        <v>54935</v>
      </c>
      <c r="F90" s="21">
        <v>6.85</v>
      </c>
      <c r="G90" s="21">
        <v>36484</v>
      </c>
      <c r="H90" s="21">
        <f t="shared" si="3"/>
        <v>53538</v>
      </c>
      <c r="I90" s="23">
        <f t="shared" si="4"/>
        <v>2.609361574956106E-2</v>
      </c>
      <c r="J90">
        <f t="shared" si="5"/>
        <v>1397</v>
      </c>
    </row>
    <row r="91" spans="1:10" ht="15.75" customHeight="1" x14ac:dyDescent="0.3">
      <c r="A91" s="21" t="s">
        <v>282</v>
      </c>
      <c r="B91" s="21" t="s">
        <v>43</v>
      </c>
      <c r="C91" s="21">
        <v>947</v>
      </c>
      <c r="D91" s="21">
        <v>407</v>
      </c>
      <c r="E91" s="21">
        <v>319186</v>
      </c>
      <c r="F91" s="21">
        <v>3.32</v>
      </c>
      <c r="G91" s="21">
        <v>4996</v>
      </c>
      <c r="H91" s="21">
        <f t="shared" si="3"/>
        <v>318646</v>
      </c>
      <c r="I91" s="23">
        <f t="shared" si="4"/>
        <v>1.6946705748699183E-3</v>
      </c>
      <c r="J91">
        <f t="shared" si="5"/>
        <v>540</v>
      </c>
    </row>
    <row r="92" spans="1:10" ht="15.75" customHeight="1" x14ac:dyDescent="0.3">
      <c r="A92" s="21" t="s">
        <v>282</v>
      </c>
      <c r="B92" s="21" t="s">
        <v>14</v>
      </c>
      <c r="C92" s="21">
        <v>1821</v>
      </c>
      <c r="D92" s="21">
        <v>218</v>
      </c>
      <c r="E92" s="21">
        <v>439080</v>
      </c>
      <c r="F92" s="21">
        <v>5.68</v>
      </c>
      <c r="G92" s="21">
        <v>36095</v>
      </c>
      <c r="H92" s="21">
        <f t="shared" si="3"/>
        <v>437477</v>
      </c>
      <c r="I92" s="23">
        <f t="shared" si="4"/>
        <v>3.6641926318412166E-3</v>
      </c>
      <c r="J92">
        <f t="shared" si="5"/>
        <v>1603</v>
      </c>
    </row>
    <row r="93" spans="1:10" ht="15.75" customHeight="1" x14ac:dyDescent="0.3">
      <c r="A93" s="21" t="s">
        <v>282</v>
      </c>
      <c r="B93" s="21" t="s">
        <v>27</v>
      </c>
      <c r="C93" s="21">
        <v>1507</v>
      </c>
      <c r="D93" s="21">
        <v>463</v>
      </c>
      <c r="E93" s="21">
        <v>258944</v>
      </c>
      <c r="F93" s="21">
        <v>6.08</v>
      </c>
      <c r="G93" s="21">
        <v>16443</v>
      </c>
      <c r="H93" s="21">
        <f t="shared" si="3"/>
        <v>257900</v>
      </c>
      <c r="I93" s="23">
        <f t="shared" si="4"/>
        <v>4.0480806514152775E-3</v>
      </c>
      <c r="J93">
        <f t="shared" si="5"/>
        <v>1044</v>
      </c>
    </row>
    <row r="94" spans="1:10" ht="15.75" customHeight="1" x14ac:dyDescent="0.3">
      <c r="A94" s="21" t="s">
        <v>580</v>
      </c>
      <c r="B94" s="21" t="s">
        <v>33</v>
      </c>
      <c r="C94" s="21">
        <v>1075</v>
      </c>
      <c r="D94" s="21">
        <v>173</v>
      </c>
      <c r="E94" s="21">
        <v>51395</v>
      </c>
      <c r="F94" s="21">
        <v>4.66</v>
      </c>
      <c r="G94" s="21">
        <v>47812</v>
      </c>
      <c r="H94" s="21">
        <f t="shared" si="3"/>
        <v>50493</v>
      </c>
      <c r="I94" s="23">
        <f t="shared" si="4"/>
        <v>1.7863862317548967E-2</v>
      </c>
      <c r="J94">
        <f t="shared" si="5"/>
        <v>902</v>
      </c>
    </row>
    <row r="95" spans="1:10" ht="15.75" customHeight="1" x14ac:dyDescent="0.3">
      <c r="A95" s="21" t="s">
        <v>580</v>
      </c>
      <c r="B95" s="21" t="s">
        <v>43</v>
      </c>
      <c r="C95" s="21">
        <v>171</v>
      </c>
      <c r="D95" s="21">
        <v>277</v>
      </c>
      <c r="E95" s="21">
        <v>309483</v>
      </c>
      <c r="F95" s="21">
        <v>8.6999999999999993</v>
      </c>
      <c r="G95" s="21">
        <v>38452</v>
      </c>
      <c r="H95" s="21">
        <f t="shared" si="3"/>
        <v>309589</v>
      </c>
      <c r="I95" s="23">
        <f t="shared" si="4"/>
        <v>-3.4238942598089728E-4</v>
      </c>
      <c r="J95">
        <f t="shared" si="5"/>
        <v>-106</v>
      </c>
    </row>
    <row r="96" spans="1:10" ht="15.75" customHeight="1" x14ac:dyDescent="0.3">
      <c r="A96" s="21" t="s">
        <v>580</v>
      </c>
      <c r="B96" s="21" t="s">
        <v>14</v>
      </c>
      <c r="C96" s="21">
        <v>1487</v>
      </c>
      <c r="D96" s="21">
        <v>337</v>
      </c>
      <c r="E96" s="21">
        <v>87305</v>
      </c>
      <c r="F96" s="21">
        <v>2.46</v>
      </c>
      <c r="G96" s="21">
        <v>30428</v>
      </c>
      <c r="H96" s="21">
        <f t="shared" si="3"/>
        <v>86155</v>
      </c>
      <c r="I96" s="23">
        <f t="shared" si="4"/>
        <v>1.3348035517381463E-2</v>
      </c>
      <c r="J96">
        <f t="shared" si="5"/>
        <v>1150</v>
      </c>
    </row>
    <row r="97" spans="1:10" ht="15.75" customHeight="1" x14ac:dyDescent="0.3">
      <c r="A97" s="21" t="s">
        <v>580</v>
      </c>
      <c r="B97" s="21" t="s">
        <v>27</v>
      </c>
      <c r="C97" s="21">
        <v>454</v>
      </c>
      <c r="D97" s="21">
        <v>105</v>
      </c>
      <c r="E97" s="21">
        <v>121091</v>
      </c>
      <c r="F97" s="21">
        <v>7.97</v>
      </c>
      <c r="G97" s="21">
        <v>9269</v>
      </c>
      <c r="H97" s="21">
        <f t="shared" si="3"/>
        <v>120742</v>
      </c>
      <c r="I97" s="23">
        <f t="shared" si="4"/>
        <v>2.8904606516373756E-3</v>
      </c>
      <c r="J97">
        <f t="shared" si="5"/>
        <v>349</v>
      </c>
    </row>
    <row r="98" spans="1:10" ht="15.75" customHeight="1" x14ac:dyDescent="0.3">
      <c r="A98" s="21" t="s">
        <v>67</v>
      </c>
      <c r="B98" s="21" t="s">
        <v>33</v>
      </c>
      <c r="C98" s="21">
        <v>187</v>
      </c>
      <c r="D98" s="21">
        <v>236</v>
      </c>
      <c r="E98" s="21">
        <v>51087</v>
      </c>
      <c r="F98" s="21">
        <v>9.41</v>
      </c>
      <c r="G98" s="21">
        <v>29533</v>
      </c>
      <c r="H98" s="21">
        <f t="shared" si="3"/>
        <v>51136</v>
      </c>
      <c r="I98" s="23">
        <f t="shared" si="4"/>
        <v>-9.5822903629536917E-4</v>
      </c>
      <c r="J98">
        <f t="shared" si="5"/>
        <v>-49</v>
      </c>
    </row>
    <row r="99" spans="1:10" ht="15.75" customHeight="1" x14ac:dyDescent="0.3">
      <c r="A99" s="21" t="s">
        <v>67</v>
      </c>
      <c r="B99" s="21" t="s">
        <v>43</v>
      </c>
      <c r="C99" s="21">
        <v>513</v>
      </c>
      <c r="D99" s="21">
        <v>441</v>
      </c>
      <c r="E99" s="21">
        <v>338847</v>
      </c>
      <c r="F99" s="21">
        <v>2.68</v>
      </c>
      <c r="G99" s="21">
        <v>39997</v>
      </c>
      <c r="H99" s="21">
        <f t="shared" si="3"/>
        <v>338775</v>
      </c>
      <c r="I99" s="23">
        <f t="shared" si="4"/>
        <v>2.1253044055789241E-4</v>
      </c>
      <c r="J99">
        <f t="shared" si="5"/>
        <v>72</v>
      </c>
    </row>
    <row r="100" spans="1:10" ht="15.75" customHeight="1" x14ac:dyDescent="0.3">
      <c r="A100" s="21" t="s">
        <v>67</v>
      </c>
      <c r="B100" s="21" t="s">
        <v>14</v>
      </c>
      <c r="C100" s="21">
        <v>628</v>
      </c>
      <c r="D100" s="21">
        <v>183</v>
      </c>
      <c r="E100" s="21">
        <v>487523</v>
      </c>
      <c r="F100" s="21">
        <v>7.32</v>
      </c>
      <c r="G100" s="21">
        <v>5391</v>
      </c>
      <c r="H100" s="21">
        <f t="shared" si="3"/>
        <v>487078</v>
      </c>
      <c r="I100" s="23">
        <f t="shared" si="4"/>
        <v>9.1361137230587303E-4</v>
      </c>
      <c r="J100">
        <f t="shared" si="5"/>
        <v>445</v>
      </c>
    </row>
    <row r="101" spans="1:10" ht="15.75" customHeight="1" x14ac:dyDescent="0.3">
      <c r="A101" s="21" t="s">
        <v>67</v>
      </c>
      <c r="B101" s="21" t="s">
        <v>27</v>
      </c>
      <c r="C101" s="21">
        <v>278</v>
      </c>
      <c r="D101" s="21">
        <v>218</v>
      </c>
      <c r="E101" s="21">
        <v>301695</v>
      </c>
      <c r="F101" s="21">
        <v>4.68</v>
      </c>
      <c r="G101" s="21">
        <v>22373</v>
      </c>
      <c r="H101" s="21">
        <f t="shared" si="3"/>
        <v>301635</v>
      </c>
      <c r="I101" s="23">
        <f t="shared" si="4"/>
        <v>1.9891590829976627E-4</v>
      </c>
      <c r="J101">
        <f t="shared" si="5"/>
        <v>60</v>
      </c>
    </row>
    <row r="102" spans="1:10" ht="15.75" customHeight="1" x14ac:dyDescent="0.3">
      <c r="A102" s="21" t="s">
        <v>129</v>
      </c>
      <c r="B102" s="21" t="s">
        <v>33</v>
      </c>
      <c r="C102" s="21">
        <v>1854</v>
      </c>
      <c r="D102" s="21">
        <v>161</v>
      </c>
      <c r="E102" s="21">
        <v>282466</v>
      </c>
      <c r="F102" s="21">
        <v>5.17</v>
      </c>
      <c r="G102" s="21">
        <v>1810</v>
      </c>
      <c r="H102" s="21">
        <f t="shared" si="3"/>
        <v>280773</v>
      </c>
      <c r="I102" s="23">
        <f t="shared" si="4"/>
        <v>6.0297820659393885E-3</v>
      </c>
      <c r="J102">
        <f t="shared" si="5"/>
        <v>1693</v>
      </c>
    </row>
    <row r="103" spans="1:10" ht="15.75" customHeight="1" x14ac:dyDescent="0.3">
      <c r="A103" s="21" t="s">
        <v>129</v>
      </c>
      <c r="B103" s="21" t="s">
        <v>43</v>
      </c>
      <c r="C103" s="21">
        <v>1710</v>
      </c>
      <c r="D103" s="21">
        <v>378</v>
      </c>
      <c r="E103" s="21">
        <v>336661</v>
      </c>
      <c r="F103" s="21">
        <v>6.2</v>
      </c>
      <c r="G103" s="21">
        <v>28498</v>
      </c>
      <c r="H103" s="21">
        <f t="shared" si="3"/>
        <v>335329</v>
      </c>
      <c r="I103" s="23">
        <f t="shared" si="4"/>
        <v>3.9722183288650849E-3</v>
      </c>
      <c r="J103">
        <f t="shared" si="5"/>
        <v>1332</v>
      </c>
    </row>
    <row r="104" spans="1:10" ht="15.75" customHeight="1" x14ac:dyDescent="0.3">
      <c r="A104" s="21" t="s">
        <v>129</v>
      </c>
      <c r="B104" s="21" t="s">
        <v>14</v>
      </c>
      <c r="C104" s="21">
        <v>330</v>
      </c>
      <c r="D104" s="21">
        <v>232</v>
      </c>
      <c r="E104" s="21">
        <v>88455</v>
      </c>
      <c r="F104" s="21">
        <v>2.69</v>
      </c>
      <c r="G104" s="21">
        <v>39530</v>
      </c>
      <c r="H104" s="21">
        <f t="shared" si="3"/>
        <v>88357</v>
      </c>
      <c r="I104" s="23">
        <f t="shared" si="4"/>
        <v>1.1091367973109091E-3</v>
      </c>
      <c r="J104">
        <f t="shared" si="5"/>
        <v>98</v>
      </c>
    </row>
    <row r="105" spans="1:10" ht="15.75" customHeight="1" x14ac:dyDescent="0.3">
      <c r="A105" s="21" t="s">
        <v>129</v>
      </c>
      <c r="B105" s="21" t="s">
        <v>27</v>
      </c>
      <c r="C105" s="21">
        <v>1293</v>
      </c>
      <c r="D105" s="21">
        <v>408</v>
      </c>
      <c r="E105" s="21">
        <v>62535</v>
      </c>
      <c r="F105" s="21">
        <v>8.9</v>
      </c>
      <c r="G105" s="21">
        <v>37876</v>
      </c>
      <c r="H105" s="21">
        <f t="shared" si="3"/>
        <v>61650</v>
      </c>
      <c r="I105" s="23">
        <f t="shared" si="4"/>
        <v>1.4355231143552312E-2</v>
      </c>
      <c r="J105">
        <f t="shared" si="5"/>
        <v>885</v>
      </c>
    </row>
    <row r="106" spans="1:10" ht="15.75" customHeight="1" x14ac:dyDescent="0.3">
      <c r="A106" s="21" t="s">
        <v>581</v>
      </c>
      <c r="B106" s="21" t="s">
        <v>33</v>
      </c>
      <c r="C106" s="21">
        <v>1696</v>
      </c>
      <c r="D106" s="21">
        <v>71</v>
      </c>
      <c r="E106" s="21">
        <v>421957</v>
      </c>
      <c r="F106" s="21">
        <v>3.79</v>
      </c>
      <c r="G106" s="21">
        <v>36103</v>
      </c>
      <c r="H106" s="21">
        <f t="shared" si="3"/>
        <v>420332</v>
      </c>
      <c r="I106" s="23">
        <f t="shared" si="4"/>
        <v>3.8659916446999038E-3</v>
      </c>
      <c r="J106">
        <f t="shared" si="5"/>
        <v>1625</v>
      </c>
    </row>
    <row r="107" spans="1:10" ht="15.75" customHeight="1" x14ac:dyDescent="0.3">
      <c r="A107" s="21" t="s">
        <v>581</v>
      </c>
      <c r="B107" s="21" t="s">
        <v>43</v>
      </c>
      <c r="C107" s="21">
        <v>1902</v>
      </c>
      <c r="D107" s="21">
        <v>196</v>
      </c>
      <c r="E107" s="21">
        <v>470269</v>
      </c>
      <c r="F107" s="21">
        <v>4.79</v>
      </c>
      <c r="G107" s="21">
        <v>26103</v>
      </c>
      <c r="H107" s="21">
        <f t="shared" si="3"/>
        <v>468563</v>
      </c>
      <c r="I107" s="23">
        <f t="shared" si="4"/>
        <v>3.6409191506798447E-3</v>
      </c>
      <c r="J107">
        <f t="shared" si="5"/>
        <v>1706</v>
      </c>
    </row>
    <row r="108" spans="1:10" ht="15.75" customHeight="1" x14ac:dyDescent="0.3">
      <c r="A108" s="21" t="s">
        <v>581</v>
      </c>
      <c r="B108" s="21" t="s">
        <v>14</v>
      </c>
      <c r="C108" s="21">
        <v>1441</v>
      </c>
      <c r="D108" s="21">
        <v>268</v>
      </c>
      <c r="E108" s="21">
        <v>309904</v>
      </c>
      <c r="F108" s="21">
        <v>6.37</v>
      </c>
      <c r="G108" s="21">
        <v>3455</v>
      </c>
      <c r="H108" s="21">
        <f t="shared" si="3"/>
        <v>308731</v>
      </c>
      <c r="I108" s="23">
        <f t="shared" si="4"/>
        <v>3.7994240941142936E-3</v>
      </c>
      <c r="J108">
        <f t="shared" si="5"/>
        <v>1173</v>
      </c>
    </row>
    <row r="109" spans="1:10" ht="15.75" customHeight="1" x14ac:dyDescent="0.3">
      <c r="A109" s="21" t="s">
        <v>581</v>
      </c>
      <c r="B109" s="21" t="s">
        <v>27</v>
      </c>
      <c r="C109" s="21">
        <v>452</v>
      </c>
      <c r="D109" s="21">
        <v>161</v>
      </c>
      <c r="E109" s="21">
        <v>221274</v>
      </c>
      <c r="F109" s="21">
        <v>2.65</v>
      </c>
      <c r="G109" s="21">
        <v>40888</v>
      </c>
      <c r="H109" s="21">
        <f t="shared" si="3"/>
        <v>220983</v>
      </c>
      <c r="I109" s="23">
        <f t="shared" si="4"/>
        <v>1.3168433770923554E-3</v>
      </c>
      <c r="J109">
        <f t="shared" si="5"/>
        <v>291</v>
      </c>
    </row>
    <row r="110" spans="1:10" ht="15.75" customHeight="1" x14ac:dyDescent="0.3">
      <c r="A110" s="21" t="s">
        <v>221</v>
      </c>
      <c r="B110" s="21" t="s">
        <v>33</v>
      </c>
      <c r="C110" s="21">
        <v>1494</v>
      </c>
      <c r="D110" s="21">
        <v>375</v>
      </c>
      <c r="E110" s="21">
        <v>220616</v>
      </c>
      <c r="F110" s="21">
        <v>1.81</v>
      </c>
      <c r="G110" s="21">
        <v>22724</v>
      </c>
      <c r="H110" s="21">
        <f t="shared" si="3"/>
        <v>219497</v>
      </c>
      <c r="I110" s="23">
        <f t="shared" si="4"/>
        <v>5.0980195629097436E-3</v>
      </c>
      <c r="J110">
        <f t="shared" si="5"/>
        <v>1119</v>
      </c>
    </row>
    <row r="111" spans="1:10" ht="15.75" customHeight="1" x14ac:dyDescent="0.3">
      <c r="A111" s="21" t="s">
        <v>221</v>
      </c>
      <c r="B111" s="21" t="s">
        <v>43</v>
      </c>
      <c r="C111" s="21">
        <v>1514</v>
      </c>
      <c r="D111" s="21">
        <v>141</v>
      </c>
      <c r="E111" s="21">
        <v>35842</v>
      </c>
      <c r="F111" s="21">
        <v>7.47</v>
      </c>
      <c r="G111" s="21">
        <v>18601</v>
      </c>
      <c r="H111" s="21">
        <f t="shared" si="3"/>
        <v>34469</v>
      </c>
      <c r="I111" s="23">
        <f t="shared" si="4"/>
        <v>3.9832893324436451E-2</v>
      </c>
      <c r="J111">
        <f t="shared" si="5"/>
        <v>1373</v>
      </c>
    </row>
    <row r="112" spans="1:10" ht="15.75" customHeight="1" x14ac:dyDescent="0.3">
      <c r="A112" s="21" t="s">
        <v>221</v>
      </c>
      <c r="B112" s="21" t="s">
        <v>14</v>
      </c>
      <c r="C112" s="21">
        <v>1937</v>
      </c>
      <c r="D112" s="21">
        <v>210</v>
      </c>
      <c r="E112" s="21">
        <v>20607</v>
      </c>
      <c r="F112" s="21">
        <v>4.2</v>
      </c>
      <c r="G112" s="21">
        <v>20861</v>
      </c>
      <c r="H112" s="21">
        <f t="shared" si="3"/>
        <v>18880</v>
      </c>
      <c r="I112" s="23">
        <f t="shared" si="4"/>
        <v>9.1472457627118642E-2</v>
      </c>
      <c r="J112">
        <f t="shared" si="5"/>
        <v>1727</v>
      </c>
    </row>
    <row r="113" spans="1:10" ht="15.75" customHeight="1" x14ac:dyDescent="0.3">
      <c r="A113" s="21" t="s">
        <v>221</v>
      </c>
      <c r="B113" s="21" t="s">
        <v>27</v>
      </c>
      <c r="C113" s="21">
        <v>736</v>
      </c>
      <c r="D113" s="21">
        <v>163</v>
      </c>
      <c r="E113" s="21">
        <v>451894</v>
      </c>
      <c r="F113" s="21">
        <v>5.43</v>
      </c>
      <c r="G113" s="21">
        <v>46625</v>
      </c>
      <c r="H113" s="21">
        <f t="shared" si="3"/>
        <v>451321</v>
      </c>
      <c r="I113" s="23">
        <f t="shared" si="4"/>
        <v>1.2696063334079292E-3</v>
      </c>
      <c r="J113">
        <f t="shared" si="5"/>
        <v>573</v>
      </c>
    </row>
    <row r="114" spans="1:10" ht="15.75" customHeight="1" x14ac:dyDescent="0.3">
      <c r="A114" s="21" t="s">
        <v>112</v>
      </c>
      <c r="B114" s="21" t="s">
        <v>33</v>
      </c>
      <c r="C114" s="21">
        <v>1502</v>
      </c>
      <c r="D114" s="21">
        <v>70</v>
      </c>
      <c r="E114" s="21">
        <v>465553</v>
      </c>
      <c r="F114" s="21">
        <v>3.32</v>
      </c>
      <c r="G114" s="21">
        <v>20692</v>
      </c>
      <c r="H114" s="21">
        <f t="shared" si="3"/>
        <v>464121</v>
      </c>
      <c r="I114" s="23">
        <f t="shared" si="4"/>
        <v>3.0854022981076056E-3</v>
      </c>
      <c r="J114">
        <f t="shared" si="5"/>
        <v>1432</v>
      </c>
    </row>
    <row r="115" spans="1:10" ht="15.75" customHeight="1" x14ac:dyDescent="0.3">
      <c r="A115" s="21" t="s">
        <v>112</v>
      </c>
      <c r="B115" s="21" t="s">
        <v>43</v>
      </c>
      <c r="C115" s="21">
        <v>1623</v>
      </c>
      <c r="D115" s="21">
        <v>246</v>
      </c>
      <c r="E115" s="21">
        <v>415815</v>
      </c>
      <c r="F115" s="21">
        <v>8.11</v>
      </c>
      <c r="G115" s="21">
        <v>18656</v>
      </c>
      <c r="H115" s="21">
        <f t="shared" si="3"/>
        <v>414438</v>
      </c>
      <c r="I115" s="23">
        <f t="shared" si="4"/>
        <v>3.3225717718935038E-3</v>
      </c>
      <c r="J115">
        <f t="shared" si="5"/>
        <v>1377</v>
      </c>
    </row>
    <row r="116" spans="1:10" ht="15.75" customHeight="1" x14ac:dyDescent="0.3">
      <c r="A116" s="21" t="s">
        <v>112</v>
      </c>
      <c r="B116" s="21" t="s">
        <v>14</v>
      </c>
      <c r="C116" s="21">
        <v>1592</v>
      </c>
      <c r="D116" s="21">
        <v>233</v>
      </c>
      <c r="E116" s="21">
        <v>327183</v>
      </c>
      <c r="F116" s="21">
        <v>6.66</v>
      </c>
      <c r="G116" s="21">
        <v>13316</v>
      </c>
      <c r="H116" s="21">
        <f t="shared" si="3"/>
        <v>325824</v>
      </c>
      <c r="I116" s="23">
        <f t="shared" si="4"/>
        <v>4.1709634649381259E-3</v>
      </c>
      <c r="J116">
        <f t="shared" si="5"/>
        <v>1359</v>
      </c>
    </row>
    <row r="117" spans="1:10" ht="15.75" customHeight="1" x14ac:dyDescent="0.3">
      <c r="A117" s="21" t="s">
        <v>112</v>
      </c>
      <c r="B117" s="21" t="s">
        <v>27</v>
      </c>
      <c r="C117" s="21">
        <v>1004</v>
      </c>
      <c r="D117" s="21">
        <v>128</v>
      </c>
      <c r="E117" s="21">
        <v>488901</v>
      </c>
      <c r="F117" s="21">
        <v>8.09</v>
      </c>
      <c r="G117" s="21">
        <v>49558</v>
      </c>
      <c r="H117" s="21">
        <f t="shared" si="3"/>
        <v>488025</v>
      </c>
      <c r="I117" s="23">
        <f t="shared" si="4"/>
        <v>1.7949900107576456E-3</v>
      </c>
      <c r="J117">
        <f t="shared" si="5"/>
        <v>876</v>
      </c>
    </row>
    <row r="118" spans="1:10" ht="15.75" customHeight="1" x14ac:dyDescent="0.3">
      <c r="A118" s="21" t="s">
        <v>15</v>
      </c>
      <c r="B118" s="21" t="s">
        <v>33</v>
      </c>
      <c r="C118" s="21">
        <v>1092</v>
      </c>
      <c r="D118" s="21">
        <v>408</v>
      </c>
      <c r="E118" s="21">
        <v>280795</v>
      </c>
      <c r="F118" s="21">
        <v>8.44</v>
      </c>
      <c r="G118" s="21">
        <v>4683</v>
      </c>
      <c r="H118" s="21">
        <f t="shared" si="3"/>
        <v>280111</v>
      </c>
      <c r="I118" s="23">
        <f t="shared" si="4"/>
        <v>2.4418891082463737E-3</v>
      </c>
      <c r="J118">
        <f t="shared" si="5"/>
        <v>684</v>
      </c>
    </row>
    <row r="119" spans="1:10" ht="15.75" customHeight="1" x14ac:dyDescent="0.3">
      <c r="A119" s="21" t="s">
        <v>15</v>
      </c>
      <c r="B119" s="21" t="s">
        <v>43</v>
      </c>
      <c r="C119" s="21">
        <v>1155</v>
      </c>
      <c r="D119" s="21">
        <v>425</v>
      </c>
      <c r="E119" s="21">
        <v>93347</v>
      </c>
      <c r="F119" s="21">
        <v>2.02</v>
      </c>
      <c r="G119" s="21">
        <v>47502</v>
      </c>
      <c r="H119" s="21">
        <f t="shared" si="3"/>
        <v>92617</v>
      </c>
      <c r="I119" s="23">
        <f t="shared" si="4"/>
        <v>7.8819223252750582E-3</v>
      </c>
      <c r="J119">
        <f t="shared" si="5"/>
        <v>730</v>
      </c>
    </row>
    <row r="120" spans="1:10" ht="15.75" customHeight="1" x14ac:dyDescent="0.3">
      <c r="A120" s="21" t="s">
        <v>15</v>
      </c>
      <c r="B120" s="21" t="s">
        <v>14</v>
      </c>
      <c r="C120" s="21">
        <v>1137</v>
      </c>
      <c r="D120" s="21">
        <v>226</v>
      </c>
      <c r="E120" s="21">
        <v>81119</v>
      </c>
      <c r="F120" s="21">
        <v>7.74</v>
      </c>
      <c r="G120" s="21">
        <v>35359</v>
      </c>
      <c r="H120" s="21">
        <f t="shared" si="3"/>
        <v>80208</v>
      </c>
      <c r="I120" s="23">
        <f t="shared" si="4"/>
        <v>1.1357969279872333E-2</v>
      </c>
      <c r="J120">
        <f t="shared" si="5"/>
        <v>911</v>
      </c>
    </row>
    <row r="121" spans="1:10" ht="15.75" customHeight="1" x14ac:dyDescent="0.3">
      <c r="A121" s="21" t="s">
        <v>15</v>
      </c>
      <c r="B121" s="21" t="s">
        <v>27</v>
      </c>
      <c r="C121" s="21">
        <v>1900</v>
      </c>
      <c r="D121" s="21">
        <v>311</v>
      </c>
      <c r="E121" s="21">
        <v>25177</v>
      </c>
      <c r="F121" s="21">
        <v>2.89</v>
      </c>
      <c r="G121" s="21">
        <v>14154</v>
      </c>
      <c r="H121" s="21">
        <f t="shared" si="3"/>
        <v>23588</v>
      </c>
      <c r="I121" s="23">
        <f t="shared" si="4"/>
        <v>6.7364761743259283E-2</v>
      </c>
      <c r="J121">
        <f t="shared" si="5"/>
        <v>1589</v>
      </c>
    </row>
    <row r="122" spans="1:10" ht="15.75" customHeight="1" x14ac:dyDescent="0.3">
      <c r="A122" s="21" t="s">
        <v>582</v>
      </c>
      <c r="B122" s="21" t="s">
        <v>33</v>
      </c>
      <c r="C122" s="21">
        <v>1814</v>
      </c>
      <c r="D122" s="21">
        <v>49</v>
      </c>
      <c r="E122" s="21">
        <v>140804</v>
      </c>
      <c r="F122" s="21">
        <v>1.76</v>
      </c>
      <c r="G122" s="21">
        <v>4313</v>
      </c>
      <c r="H122" s="21">
        <f t="shared" si="3"/>
        <v>139039</v>
      </c>
      <c r="I122" s="23">
        <f t="shared" si="4"/>
        <v>1.2694280022152058E-2</v>
      </c>
      <c r="J122">
        <f t="shared" si="5"/>
        <v>1765</v>
      </c>
    </row>
    <row r="123" spans="1:10" ht="15.75" customHeight="1" x14ac:dyDescent="0.3">
      <c r="A123" s="21" t="s">
        <v>582</v>
      </c>
      <c r="B123" s="21" t="s">
        <v>43</v>
      </c>
      <c r="C123" s="21">
        <v>1980</v>
      </c>
      <c r="D123" s="21">
        <v>204</v>
      </c>
      <c r="E123" s="21">
        <v>379431</v>
      </c>
      <c r="F123" s="21">
        <v>3.09</v>
      </c>
      <c r="G123" s="21">
        <v>25140</v>
      </c>
      <c r="H123" s="21">
        <f t="shared" si="3"/>
        <v>377655</v>
      </c>
      <c r="I123" s="23">
        <f t="shared" si="4"/>
        <v>4.7027048496643764E-3</v>
      </c>
      <c r="J123">
        <f t="shared" si="5"/>
        <v>1776</v>
      </c>
    </row>
    <row r="124" spans="1:10" ht="15.75" customHeight="1" x14ac:dyDescent="0.3">
      <c r="A124" s="21" t="s">
        <v>582</v>
      </c>
      <c r="B124" s="21" t="s">
        <v>14</v>
      </c>
      <c r="C124" s="21">
        <v>1786</v>
      </c>
      <c r="D124" s="21">
        <v>257</v>
      </c>
      <c r="E124" s="21">
        <v>274831</v>
      </c>
      <c r="F124" s="21">
        <v>4.68</v>
      </c>
      <c r="G124" s="21">
        <v>9118</v>
      </c>
      <c r="H124" s="21">
        <f t="shared" si="3"/>
        <v>273302</v>
      </c>
      <c r="I124" s="23">
        <f t="shared" si="4"/>
        <v>5.5945437647730353E-3</v>
      </c>
      <c r="J124">
        <f t="shared" si="5"/>
        <v>1529</v>
      </c>
    </row>
    <row r="125" spans="1:10" ht="15.75" customHeight="1" x14ac:dyDescent="0.3">
      <c r="A125" s="21" t="s">
        <v>582</v>
      </c>
      <c r="B125" s="21" t="s">
        <v>27</v>
      </c>
      <c r="C125" s="21">
        <v>1495</v>
      </c>
      <c r="D125" s="21">
        <v>35</v>
      </c>
      <c r="E125" s="21">
        <v>136845</v>
      </c>
      <c r="F125" s="21">
        <v>4.4800000000000004</v>
      </c>
      <c r="G125" s="21">
        <v>39931</v>
      </c>
      <c r="H125" s="21">
        <f t="shared" si="3"/>
        <v>135385</v>
      </c>
      <c r="I125" s="23">
        <f t="shared" si="4"/>
        <v>1.0784060272556044E-2</v>
      </c>
      <c r="J125">
        <f t="shared" si="5"/>
        <v>1460</v>
      </c>
    </row>
    <row r="126" spans="1:10" ht="15.75" customHeight="1" x14ac:dyDescent="0.3">
      <c r="A126" s="21" t="s">
        <v>125</v>
      </c>
      <c r="B126" s="21" t="s">
        <v>33</v>
      </c>
      <c r="C126" s="21">
        <v>1013</v>
      </c>
      <c r="D126" s="21">
        <v>110</v>
      </c>
      <c r="E126" s="21">
        <v>466382</v>
      </c>
      <c r="F126" s="21">
        <v>5.3</v>
      </c>
      <c r="G126" s="21">
        <v>37132</v>
      </c>
      <c r="H126" s="21">
        <f t="shared" si="3"/>
        <v>465479</v>
      </c>
      <c r="I126" s="23">
        <f t="shared" si="4"/>
        <v>1.9399371400213544E-3</v>
      </c>
      <c r="J126">
        <f t="shared" si="5"/>
        <v>903</v>
      </c>
    </row>
    <row r="127" spans="1:10" ht="15.75" customHeight="1" x14ac:dyDescent="0.3">
      <c r="A127" s="21" t="s">
        <v>125</v>
      </c>
      <c r="B127" s="21" t="s">
        <v>43</v>
      </c>
      <c r="C127" s="21">
        <v>816</v>
      </c>
      <c r="D127" s="21">
        <v>196</v>
      </c>
      <c r="E127" s="21">
        <v>95728</v>
      </c>
      <c r="F127" s="21">
        <v>8.1999999999999993</v>
      </c>
      <c r="G127" s="21">
        <v>17951</v>
      </c>
      <c r="H127" s="21">
        <f t="shared" si="3"/>
        <v>95108</v>
      </c>
      <c r="I127" s="23">
        <f t="shared" si="4"/>
        <v>6.51890482398957E-3</v>
      </c>
      <c r="J127">
        <f t="shared" si="5"/>
        <v>620</v>
      </c>
    </row>
    <row r="128" spans="1:10" ht="15.75" customHeight="1" x14ac:dyDescent="0.3">
      <c r="A128" s="21" t="s">
        <v>125</v>
      </c>
      <c r="B128" s="21" t="s">
        <v>14</v>
      </c>
      <c r="C128" s="21">
        <v>1633</v>
      </c>
      <c r="D128" s="21">
        <v>445</v>
      </c>
      <c r="E128" s="21">
        <v>371156</v>
      </c>
      <c r="F128" s="21">
        <v>2.2200000000000002</v>
      </c>
      <c r="G128" s="21">
        <v>2798</v>
      </c>
      <c r="H128" s="21">
        <f t="shared" si="3"/>
        <v>369968</v>
      </c>
      <c r="I128" s="23">
        <f t="shared" si="4"/>
        <v>3.2110885265752712E-3</v>
      </c>
      <c r="J128">
        <f t="shared" si="5"/>
        <v>1188</v>
      </c>
    </row>
    <row r="129" spans="1:10" ht="15.75" customHeight="1" x14ac:dyDescent="0.3">
      <c r="A129" s="21" t="s">
        <v>125</v>
      </c>
      <c r="B129" s="21" t="s">
        <v>27</v>
      </c>
      <c r="C129" s="21">
        <v>891</v>
      </c>
      <c r="D129" s="21">
        <v>45</v>
      </c>
      <c r="E129" s="21">
        <v>95410</v>
      </c>
      <c r="F129" s="21">
        <v>8.33</v>
      </c>
      <c r="G129" s="21">
        <v>15045</v>
      </c>
      <c r="H129" s="21">
        <f t="shared" si="3"/>
        <v>94564</v>
      </c>
      <c r="I129" s="23">
        <f t="shared" si="4"/>
        <v>8.9463220675944331E-3</v>
      </c>
      <c r="J129">
        <f t="shared" si="5"/>
        <v>846</v>
      </c>
    </row>
    <row r="130" spans="1:10" ht="15.75" customHeight="1" x14ac:dyDescent="0.3">
      <c r="A130" s="21" t="s">
        <v>583</v>
      </c>
      <c r="B130" s="21" t="s">
        <v>33</v>
      </c>
      <c r="C130" s="21">
        <v>1855</v>
      </c>
      <c r="D130" s="21">
        <v>133</v>
      </c>
      <c r="E130" s="21">
        <v>349413</v>
      </c>
      <c r="F130" s="21">
        <v>3.3</v>
      </c>
      <c r="G130" s="21">
        <v>14548</v>
      </c>
      <c r="H130" s="21">
        <f t="shared" si="3"/>
        <v>347691</v>
      </c>
      <c r="I130" s="23">
        <f t="shared" si="4"/>
        <v>4.9526734945684533E-3</v>
      </c>
      <c r="J130">
        <f t="shared" si="5"/>
        <v>1722</v>
      </c>
    </row>
    <row r="131" spans="1:10" ht="15.75" customHeight="1" x14ac:dyDescent="0.3">
      <c r="A131" s="21" t="s">
        <v>583</v>
      </c>
      <c r="B131" s="21" t="s">
        <v>43</v>
      </c>
      <c r="C131" s="21">
        <v>651</v>
      </c>
      <c r="D131" s="21">
        <v>353</v>
      </c>
      <c r="E131" s="21">
        <v>224699</v>
      </c>
      <c r="F131" s="21">
        <v>5.61</v>
      </c>
      <c r="G131" s="21">
        <v>45708</v>
      </c>
      <c r="H131" s="21">
        <f t="shared" ref="H131:H194" si="6">E131-C131+D131</f>
        <v>224401</v>
      </c>
      <c r="I131" s="23">
        <f t="shared" ref="I131:I194" si="7">(E131-H131)/H131</f>
        <v>1.3279798218368011E-3</v>
      </c>
      <c r="J131">
        <f t="shared" ref="J131:J194" si="8">C131-D131</f>
        <v>298</v>
      </c>
    </row>
    <row r="132" spans="1:10" ht="15.75" customHeight="1" x14ac:dyDescent="0.3">
      <c r="A132" s="21" t="s">
        <v>583</v>
      </c>
      <c r="B132" s="21" t="s">
        <v>14</v>
      </c>
      <c r="C132" s="21">
        <v>118</v>
      </c>
      <c r="D132" s="21">
        <v>262</v>
      </c>
      <c r="E132" s="21">
        <v>487896</v>
      </c>
      <c r="F132" s="21">
        <v>2.56</v>
      </c>
      <c r="G132" s="21">
        <v>12350</v>
      </c>
      <c r="H132" s="21">
        <f t="shared" si="6"/>
        <v>488040</v>
      </c>
      <c r="I132" s="23">
        <f t="shared" si="7"/>
        <v>-2.9505778214900419E-4</v>
      </c>
      <c r="J132">
        <f t="shared" si="8"/>
        <v>-144</v>
      </c>
    </row>
    <row r="133" spans="1:10" ht="15.75" customHeight="1" x14ac:dyDescent="0.3">
      <c r="A133" s="21" t="s">
        <v>583</v>
      </c>
      <c r="B133" s="21" t="s">
        <v>27</v>
      </c>
      <c r="C133" s="21">
        <v>1331</v>
      </c>
      <c r="D133" s="21">
        <v>430</v>
      </c>
      <c r="E133" s="21">
        <v>14437</v>
      </c>
      <c r="F133" s="21">
        <v>3.29</v>
      </c>
      <c r="G133" s="21">
        <v>40868</v>
      </c>
      <c r="H133" s="21">
        <f t="shared" si="6"/>
        <v>13536</v>
      </c>
      <c r="I133" s="23">
        <f t="shared" si="7"/>
        <v>6.6563238770685582E-2</v>
      </c>
      <c r="J133">
        <f t="shared" si="8"/>
        <v>901</v>
      </c>
    </row>
    <row r="134" spans="1:10" ht="15.75" customHeight="1" x14ac:dyDescent="0.3">
      <c r="A134" s="21" t="s">
        <v>584</v>
      </c>
      <c r="B134" s="21" t="s">
        <v>33</v>
      </c>
      <c r="C134" s="21">
        <v>1748</v>
      </c>
      <c r="D134" s="21">
        <v>176</v>
      </c>
      <c r="E134" s="21">
        <v>383681</v>
      </c>
      <c r="F134" s="21">
        <v>9.24</v>
      </c>
      <c r="G134" s="21">
        <v>43122</v>
      </c>
      <c r="H134" s="21">
        <f t="shared" si="6"/>
        <v>382109</v>
      </c>
      <c r="I134" s="23">
        <f t="shared" si="7"/>
        <v>4.1140093533520543E-3</v>
      </c>
      <c r="J134">
        <f t="shared" si="8"/>
        <v>1572</v>
      </c>
    </row>
    <row r="135" spans="1:10" ht="15.75" customHeight="1" x14ac:dyDescent="0.3">
      <c r="A135" s="21" t="s">
        <v>584</v>
      </c>
      <c r="B135" s="21" t="s">
        <v>43</v>
      </c>
      <c r="C135" s="21">
        <v>663</v>
      </c>
      <c r="D135" s="21">
        <v>236</v>
      </c>
      <c r="E135" s="21">
        <v>479490</v>
      </c>
      <c r="F135" s="21">
        <v>4.51</v>
      </c>
      <c r="G135" s="21">
        <v>23853</v>
      </c>
      <c r="H135" s="21">
        <f t="shared" si="6"/>
        <v>479063</v>
      </c>
      <c r="I135" s="23">
        <f t="shared" si="7"/>
        <v>8.9132327063455119E-4</v>
      </c>
      <c r="J135">
        <f t="shared" si="8"/>
        <v>427</v>
      </c>
    </row>
    <row r="136" spans="1:10" ht="15.75" customHeight="1" x14ac:dyDescent="0.3">
      <c r="A136" s="21" t="s">
        <v>584</v>
      </c>
      <c r="B136" s="21" t="s">
        <v>14</v>
      </c>
      <c r="C136" s="21">
        <v>1040</v>
      </c>
      <c r="D136" s="21">
        <v>149</v>
      </c>
      <c r="E136" s="21">
        <v>124404</v>
      </c>
      <c r="F136" s="21">
        <v>5.23</v>
      </c>
      <c r="G136" s="21">
        <v>45380</v>
      </c>
      <c r="H136" s="21">
        <f t="shared" si="6"/>
        <v>123513</v>
      </c>
      <c r="I136" s="23">
        <f t="shared" si="7"/>
        <v>7.2138155497801851E-3</v>
      </c>
      <c r="J136">
        <f t="shared" si="8"/>
        <v>891</v>
      </c>
    </row>
    <row r="137" spans="1:10" ht="15.75" customHeight="1" x14ac:dyDescent="0.3">
      <c r="A137" s="21" t="s">
        <v>584</v>
      </c>
      <c r="B137" s="21" t="s">
        <v>27</v>
      </c>
      <c r="C137" s="21">
        <v>1166</v>
      </c>
      <c r="D137" s="21">
        <v>442</v>
      </c>
      <c r="E137" s="21">
        <v>336949</v>
      </c>
      <c r="F137" s="21">
        <v>4.68</v>
      </c>
      <c r="G137" s="21">
        <v>7705</v>
      </c>
      <c r="H137" s="21">
        <f t="shared" si="6"/>
        <v>336225</v>
      </c>
      <c r="I137" s="23">
        <f t="shared" si="7"/>
        <v>2.1533199494386201E-3</v>
      </c>
      <c r="J137">
        <f t="shared" si="8"/>
        <v>724</v>
      </c>
    </row>
    <row r="138" spans="1:10" ht="15.75" customHeight="1" x14ac:dyDescent="0.3">
      <c r="A138" s="21" t="s">
        <v>224</v>
      </c>
      <c r="B138" s="21" t="s">
        <v>33</v>
      </c>
      <c r="C138" s="21">
        <v>115</v>
      </c>
      <c r="D138" s="21">
        <v>281</v>
      </c>
      <c r="E138" s="21">
        <v>357265</v>
      </c>
      <c r="F138" s="21">
        <v>9.23</v>
      </c>
      <c r="G138" s="21">
        <v>25525</v>
      </c>
      <c r="H138" s="21">
        <f t="shared" si="6"/>
        <v>357431</v>
      </c>
      <c r="I138" s="23">
        <f t="shared" si="7"/>
        <v>-4.6442530166661538E-4</v>
      </c>
      <c r="J138">
        <f t="shared" si="8"/>
        <v>-166</v>
      </c>
    </row>
    <row r="139" spans="1:10" ht="15.75" customHeight="1" x14ac:dyDescent="0.3">
      <c r="A139" s="21" t="s">
        <v>224</v>
      </c>
      <c r="B139" s="21" t="s">
        <v>43</v>
      </c>
      <c r="C139" s="21">
        <v>1249</v>
      </c>
      <c r="D139" s="21">
        <v>351</v>
      </c>
      <c r="E139" s="21">
        <v>321307</v>
      </c>
      <c r="F139" s="21">
        <v>6.37</v>
      </c>
      <c r="G139" s="21">
        <v>20560</v>
      </c>
      <c r="H139" s="21">
        <f t="shared" si="6"/>
        <v>320409</v>
      </c>
      <c r="I139" s="23">
        <f t="shared" si="7"/>
        <v>2.8026678401667868E-3</v>
      </c>
      <c r="J139">
        <f t="shared" si="8"/>
        <v>898</v>
      </c>
    </row>
    <row r="140" spans="1:10" ht="15.75" customHeight="1" x14ac:dyDescent="0.3">
      <c r="A140" s="21" t="s">
        <v>224</v>
      </c>
      <c r="B140" s="21" t="s">
        <v>14</v>
      </c>
      <c r="C140" s="21">
        <v>1501</v>
      </c>
      <c r="D140" s="21">
        <v>75</v>
      </c>
      <c r="E140" s="21">
        <v>262569</v>
      </c>
      <c r="F140" s="21">
        <v>2.0099999999999998</v>
      </c>
      <c r="G140" s="21">
        <v>19119</v>
      </c>
      <c r="H140" s="21">
        <f t="shared" si="6"/>
        <v>261143</v>
      </c>
      <c r="I140" s="23">
        <f t="shared" si="7"/>
        <v>5.4606097042616498E-3</v>
      </c>
      <c r="J140">
        <f t="shared" si="8"/>
        <v>1426</v>
      </c>
    </row>
    <row r="141" spans="1:10" ht="15.75" customHeight="1" x14ac:dyDescent="0.3">
      <c r="A141" s="21" t="s">
        <v>224</v>
      </c>
      <c r="B141" s="21" t="s">
        <v>27</v>
      </c>
      <c r="C141" s="21">
        <v>1411</v>
      </c>
      <c r="D141" s="21">
        <v>186</v>
      </c>
      <c r="E141" s="21">
        <v>461669</v>
      </c>
      <c r="F141" s="21">
        <v>3.72</v>
      </c>
      <c r="G141" s="21">
        <v>43999</v>
      </c>
      <c r="H141" s="21">
        <f t="shared" si="6"/>
        <v>460444</v>
      </c>
      <c r="I141" s="23">
        <f t="shared" si="7"/>
        <v>2.660475540999557E-3</v>
      </c>
      <c r="J141">
        <f t="shared" si="8"/>
        <v>1225</v>
      </c>
    </row>
    <row r="142" spans="1:10" ht="15.75" customHeight="1" x14ac:dyDescent="0.3">
      <c r="A142" s="21" t="s">
        <v>585</v>
      </c>
      <c r="B142" s="21" t="s">
        <v>33</v>
      </c>
      <c r="C142" s="21">
        <v>1556</v>
      </c>
      <c r="D142" s="21">
        <v>476</v>
      </c>
      <c r="E142" s="21">
        <v>351556</v>
      </c>
      <c r="F142" s="21">
        <v>3.89</v>
      </c>
      <c r="G142" s="21">
        <v>10825</v>
      </c>
      <c r="H142" s="21">
        <f t="shared" si="6"/>
        <v>350476</v>
      </c>
      <c r="I142" s="23">
        <f t="shared" si="7"/>
        <v>3.0815234138714207E-3</v>
      </c>
      <c r="J142">
        <f t="shared" si="8"/>
        <v>1080</v>
      </c>
    </row>
    <row r="143" spans="1:10" ht="15.75" customHeight="1" x14ac:dyDescent="0.3">
      <c r="A143" s="21" t="s">
        <v>585</v>
      </c>
      <c r="B143" s="21" t="s">
        <v>43</v>
      </c>
      <c r="C143" s="21">
        <v>1159</v>
      </c>
      <c r="D143" s="21">
        <v>411</v>
      </c>
      <c r="E143" s="21">
        <v>135987</v>
      </c>
      <c r="F143" s="21">
        <v>8.6999999999999993</v>
      </c>
      <c r="G143" s="21">
        <v>40323</v>
      </c>
      <c r="H143" s="21">
        <f t="shared" si="6"/>
        <v>135239</v>
      </c>
      <c r="I143" s="23">
        <f t="shared" si="7"/>
        <v>5.5309489126657251E-3</v>
      </c>
      <c r="J143">
        <f t="shared" si="8"/>
        <v>748</v>
      </c>
    </row>
    <row r="144" spans="1:10" ht="15.75" customHeight="1" x14ac:dyDescent="0.3">
      <c r="A144" s="21" t="s">
        <v>585</v>
      </c>
      <c r="B144" s="21" t="s">
        <v>14</v>
      </c>
      <c r="C144" s="21">
        <v>927</v>
      </c>
      <c r="D144" s="21">
        <v>358</v>
      </c>
      <c r="E144" s="21">
        <v>177554</v>
      </c>
      <c r="F144" s="21">
        <v>6.95</v>
      </c>
      <c r="G144" s="21">
        <v>48270</v>
      </c>
      <c r="H144" s="21">
        <f t="shared" si="6"/>
        <v>176985</v>
      </c>
      <c r="I144" s="23">
        <f t="shared" si="7"/>
        <v>3.2149617199197672E-3</v>
      </c>
      <c r="J144">
        <f t="shared" si="8"/>
        <v>569</v>
      </c>
    </row>
    <row r="145" spans="1:10" ht="15.75" customHeight="1" x14ac:dyDescent="0.3">
      <c r="A145" s="21" t="s">
        <v>585</v>
      </c>
      <c r="B145" s="21" t="s">
        <v>27</v>
      </c>
      <c r="C145" s="21">
        <v>152</v>
      </c>
      <c r="D145" s="21">
        <v>355</v>
      </c>
      <c r="E145" s="21">
        <v>270766</v>
      </c>
      <c r="F145" s="21">
        <v>9.48</v>
      </c>
      <c r="G145" s="21">
        <v>18001</v>
      </c>
      <c r="H145" s="21">
        <f t="shared" si="6"/>
        <v>270969</v>
      </c>
      <c r="I145" s="23">
        <f t="shared" si="7"/>
        <v>-7.4916318840900623E-4</v>
      </c>
      <c r="J145">
        <f t="shared" si="8"/>
        <v>-203</v>
      </c>
    </row>
    <row r="146" spans="1:10" ht="15.75" customHeight="1" x14ac:dyDescent="0.3">
      <c r="A146" s="21" t="s">
        <v>249</v>
      </c>
      <c r="B146" s="21" t="s">
        <v>33</v>
      </c>
      <c r="C146" s="21">
        <v>1957</v>
      </c>
      <c r="D146" s="21">
        <v>234</v>
      </c>
      <c r="E146" s="21">
        <v>222126</v>
      </c>
      <c r="F146" s="21">
        <v>4.6100000000000003</v>
      </c>
      <c r="G146" s="21">
        <v>3314</v>
      </c>
      <c r="H146" s="21">
        <f t="shared" si="6"/>
        <v>220403</v>
      </c>
      <c r="I146" s="23">
        <f t="shared" si="7"/>
        <v>7.8174979469426455E-3</v>
      </c>
      <c r="J146">
        <f t="shared" si="8"/>
        <v>1723</v>
      </c>
    </row>
    <row r="147" spans="1:10" ht="15.75" customHeight="1" x14ac:dyDescent="0.3">
      <c r="A147" s="21" t="s">
        <v>249</v>
      </c>
      <c r="B147" s="21" t="s">
        <v>43</v>
      </c>
      <c r="C147" s="21">
        <v>1294</v>
      </c>
      <c r="D147" s="21">
        <v>382</v>
      </c>
      <c r="E147" s="21">
        <v>309914</v>
      </c>
      <c r="F147" s="21">
        <v>8.0299999999999994</v>
      </c>
      <c r="G147" s="21">
        <v>23489</v>
      </c>
      <c r="H147" s="21">
        <f t="shared" si="6"/>
        <v>309002</v>
      </c>
      <c r="I147" s="23">
        <f t="shared" si="7"/>
        <v>2.951437207526165E-3</v>
      </c>
      <c r="J147">
        <f t="shared" si="8"/>
        <v>912</v>
      </c>
    </row>
    <row r="148" spans="1:10" ht="15.75" customHeight="1" x14ac:dyDescent="0.3">
      <c r="A148" s="21" t="s">
        <v>249</v>
      </c>
      <c r="B148" s="21" t="s">
        <v>14</v>
      </c>
      <c r="C148" s="21">
        <v>1587</v>
      </c>
      <c r="D148" s="21">
        <v>385</v>
      </c>
      <c r="E148" s="21">
        <v>126582</v>
      </c>
      <c r="F148" s="21">
        <v>6.99</v>
      </c>
      <c r="G148" s="21">
        <v>42832</v>
      </c>
      <c r="H148" s="21">
        <f t="shared" si="6"/>
        <v>125380</v>
      </c>
      <c r="I148" s="23">
        <f t="shared" si="7"/>
        <v>9.5868559578880207E-3</v>
      </c>
      <c r="J148">
        <f t="shared" si="8"/>
        <v>1202</v>
      </c>
    </row>
    <row r="149" spans="1:10" ht="15.75" customHeight="1" x14ac:dyDescent="0.3">
      <c r="A149" s="21" t="s">
        <v>249</v>
      </c>
      <c r="B149" s="21" t="s">
        <v>27</v>
      </c>
      <c r="C149" s="21">
        <v>1707</v>
      </c>
      <c r="D149" s="21">
        <v>263</v>
      </c>
      <c r="E149" s="21">
        <v>485280</v>
      </c>
      <c r="F149" s="21">
        <v>9.0299999999999994</v>
      </c>
      <c r="G149" s="21">
        <v>24494</v>
      </c>
      <c r="H149" s="21">
        <f t="shared" si="6"/>
        <v>483836</v>
      </c>
      <c r="I149" s="23">
        <f t="shared" si="7"/>
        <v>2.9844823452574837E-3</v>
      </c>
      <c r="J149">
        <f t="shared" si="8"/>
        <v>1444</v>
      </c>
    </row>
    <row r="150" spans="1:10" ht="15.75" customHeight="1" x14ac:dyDescent="0.3">
      <c r="A150" s="21" t="s">
        <v>127</v>
      </c>
      <c r="B150" s="21" t="s">
        <v>33</v>
      </c>
      <c r="C150" s="21">
        <v>1138</v>
      </c>
      <c r="D150" s="21">
        <v>173</v>
      </c>
      <c r="E150" s="21">
        <v>453243</v>
      </c>
      <c r="F150" s="21">
        <v>2.86</v>
      </c>
      <c r="G150" s="21">
        <v>44097</v>
      </c>
      <c r="H150" s="21">
        <f t="shared" si="6"/>
        <v>452278</v>
      </c>
      <c r="I150" s="23">
        <f t="shared" si="7"/>
        <v>2.1336434670711376E-3</v>
      </c>
      <c r="J150">
        <f t="shared" si="8"/>
        <v>965</v>
      </c>
    </row>
    <row r="151" spans="1:10" ht="15.75" customHeight="1" x14ac:dyDescent="0.3">
      <c r="A151" s="21" t="s">
        <v>127</v>
      </c>
      <c r="B151" s="21" t="s">
        <v>43</v>
      </c>
      <c r="C151" s="21">
        <v>1895</v>
      </c>
      <c r="D151" s="21">
        <v>305</v>
      </c>
      <c r="E151" s="21">
        <v>104967</v>
      </c>
      <c r="F151" s="21">
        <v>3.85</v>
      </c>
      <c r="G151" s="21">
        <v>31853</v>
      </c>
      <c r="H151" s="21">
        <f t="shared" si="6"/>
        <v>103377</v>
      </c>
      <c r="I151" s="23">
        <f t="shared" si="7"/>
        <v>1.5380597231492498E-2</v>
      </c>
      <c r="J151">
        <f t="shared" si="8"/>
        <v>1590</v>
      </c>
    </row>
    <row r="152" spans="1:10" ht="15.75" customHeight="1" x14ac:dyDescent="0.3">
      <c r="A152" s="21" t="s">
        <v>127</v>
      </c>
      <c r="B152" s="21" t="s">
        <v>14</v>
      </c>
      <c r="C152" s="21">
        <v>362</v>
      </c>
      <c r="D152" s="21">
        <v>399</v>
      </c>
      <c r="E152" s="21">
        <v>145608</v>
      </c>
      <c r="F152" s="21">
        <v>7.3</v>
      </c>
      <c r="G152" s="21">
        <v>37636</v>
      </c>
      <c r="H152" s="21">
        <f t="shared" si="6"/>
        <v>145645</v>
      </c>
      <c r="I152" s="23">
        <f t="shared" si="7"/>
        <v>-2.5404236328057951E-4</v>
      </c>
      <c r="J152">
        <f t="shared" si="8"/>
        <v>-37</v>
      </c>
    </row>
    <row r="153" spans="1:10" ht="15.75" customHeight="1" x14ac:dyDescent="0.3">
      <c r="A153" s="21" t="s">
        <v>127</v>
      </c>
      <c r="B153" s="21" t="s">
        <v>27</v>
      </c>
      <c r="C153" s="21">
        <v>1662</v>
      </c>
      <c r="D153" s="21">
        <v>487</v>
      </c>
      <c r="E153" s="21">
        <v>105980</v>
      </c>
      <c r="F153" s="21">
        <v>9.08</v>
      </c>
      <c r="G153" s="21">
        <v>22996</v>
      </c>
      <c r="H153" s="21">
        <f t="shared" si="6"/>
        <v>104805</v>
      </c>
      <c r="I153" s="23">
        <f t="shared" si="7"/>
        <v>1.1211297170936501E-2</v>
      </c>
      <c r="J153">
        <f t="shared" si="8"/>
        <v>1175</v>
      </c>
    </row>
    <row r="154" spans="1:10" ht="15.75" customHeight="1" x14ac:dyDescent="0.3">
      <c r="A154" s="21" t="s">
        <v>147</v>
      </c>
      <c r="B154" s="21" t="s">
        <v>33</v>
      </c>
      <c r="C154" s="21">
        <v>1440</v>
      </c>
      <c r="D154" s="21">
        <v>65</v>
      </c>
      <c r="E154" s="21">
        <v>126524</v>
      </c>
      <c r="F154" s="21">
        <v>4.34</v>
      </c>
      <c r="G154" s="21">
        <v>49772</v>
      </c>
      <c r="H154" s="21">
        <f t="shared" si="6"/>
        <v>125149</v>
      </c>
      <c r="I154" s="23">
        <f t="shared" si="7"/>
        <v>1.0986903610895812E-2</v>
      </c>
      <c r="J154">
        <f t="shared" si="8"/>
        <v>1375</v>
      </c>
    </row>
    <row r="155" spans="1:10" ht="15.75" customHeight="1" x14ac:dyDescent="0.3">
      <c r="A155" s="21" t="s">
        <v>147</v>
      </c>
      <c r="B155" s="21" t="s">
        <v>43</v>
      </c>
      <c r="C155" s="21">
        <v>1884</v>
      </c>
      <c r="D155" s="21">
        <v>177</v>
      </c>
      <c r="E155" s="21">
        <v>230448</v>
      </c>
      <c r="F155" s="21">
        <v>7.8</v>
      </c>
      <c r="G155" s="21">
        <v>22713</v>
      </c>
      <c r="H155" s="21">
        <f t="shared" si="6"/>
        <v>228741</v>
      </c>
      <c r="I155" s="23">
        <f t="shared" si="7"/>
        <v>7.4625886920141118E-3</v>
      </c>
      <c r="J155">
        <f t="shared" si="8"/>
        <v>1707</v>
      </c>
    </row>
    <row r="156" spans="1:10" ht="15.75" customHeight="1" x14ac:dyDescent="0.3">
      <c r="A156" s="21" t="s">
        <v>147</v>
      </c>
      <c r="B156" s="21" t="s">
        <v>14</v>
      </c>
      <c r="C156" s="21">
        <v>861</v>
      </c>
      <c r="D156" s="21">
        <v>153</v>
      </c>
      <c r="E156" s="21">
        <v>317007</v>
      </c>
      <c r="F156" s="21">
        <v>3.85</v>
      </c>
      <c r="G156" s="21">
        <v>8718</v>
      </c>
      <c r="H156" s="21">
        <f t="shared" si="6"/>
        <v>316299</v>
      </c>
      <c r="I156" s="23">
        <f t="shared" si="7"/>
        <v>2.2383883603805262E-3</v>
      </c>
      <c r="J156">
        <f t="shared" si="8"/>
        <v>708</v>
      </c>
    </row>
    <row r="157" spans="1:10" ht="15.75" customHeight="1" x14ac:dyDescent="0.3">
      <c r="A157" s="21" t="s">
        <v>147</v>
      </c>
      <c r="B157" s="21" t="s">
        <v>27</v>
      </c>
      <c r="C157" s="21">
        <v>1063</v>
      </c>
      <c r="D157" s="21">
        <v>47</v>
      </c>
      <c r="E157" s="21">
        <v>464239</v>
      </c>
      <c r="F157" s="21">
        <v>6.58</v>
      </c>
      <c r="G157" s="21">
        <v>39031</v>
      </c>
      <c r="H157" s="21">
        <f t="shared" si="6"/>
        <v>463223</v>
      </c>
      <c r="I157" s="23">
        <f t="shared" si="7"/>
        <v>2.1933280515000334E-3</v>
      </c>
      <c r="J157">
        <f t="shared" si="8"/>
        <v>1016</v>
      </c>
    </row>
    <row r="158" spans="1:10" ht="15.75" customHeight="1" x14ac:dyDescent="0.3">
      <c r="A158" s="21" t="s">
        <v>197</v>
      </c>
      <c r="B158" s="21" t="s">
        <v>33</v>
      </c>
      <c r="C158" s="21">
        <v>1371</v>
      </c>
      <c r="D158" s="21">
        <v>56</v>
      </c>
      <c r="E158" s="21">
        <v>257579</v>
      </c>
      <c r="F158" s="21">
        <v>8.6199999999999992</v>
      </c>
      <c r="G158" s="21">
        <v>33799</v>
      </c>
      <c r="H158" s="21">
        <f t="shared" si="6"/>
        <v>256264</v>
      </c>
      <c r="I158" s="23">
        <f t="shared" si="7"/>
        <v>5.1314269659413726E-3</v>
      </c>
      <c r="J158">
        <f t="shared" si="8"/>
        <v>1315</v>
      </c>
    </row>
    <row r="159" spans="1:10" ht="15.75" customHeight="1" x14ac:dyDescent="0.3">
      <c r="A159" s="21" t="s">
        <v>197</v>
      </c>
      <c r="B159" s="21" t="s">
        <v>43</v>
      </c>
      <c r="C159" s="21">
        <v>345</v>
      </c>
      <c r="D159" s="21">
        <v>464</v>
      </c>
      <c r="E159" s="21">
        <v>366881</v>
      </c>
      <c r="F159" s="21">
        <v>4.55</v>
      </c>
      <c r="G159" s="21">
        <v>20553</v>
      </c>
      <c r="H159" s="21">
        <f t="shared" si="6"/>
        <v>367000</v>
      </c>
      <c r="I159" s="23">
        <f t="shared" si="7"/>
        <v>-3.242506811989101E-4</v>
      </c>
      <c r="J159">
        <f t="shared" si="8"/>
        <v>-119</v>
      </c>
    </row>
    <row r="160" spans="1:10" ht="15.75" customHeight="1" x14ac:dyDescent="0.3">
      <c r="A160" s="21" t="s">
        <v>197</v>
      </c>
      <c r="B160" s="21" t="s">
        <v>14</v>
      </c>
      <c r="C160" s="21">
        <v>946</v>
      </c>
      <c r="D160" s="21">
        <v>47</v>
      </c>
      <c r="E160" s="21">
        <v>466575</v>
      </c>
      <c r="F160" s="21">
        <v>8.33</v>
      </c>
      <c r="G160" s="21">
        <v>10002</v>
      </c>
      <c r="H160" s="21">
        <f t="shared" si="6"/>
        <v>465676</v>
      </c>
      <c r="I160" s="23">
        <f t="shared" si="7"/>
        <v>1.9305268040440133E-3</v>
      </c>
      <c r="J160">
        <f t="shared" si="8"/>
        <v>899</v>
      </c>
    </row>
    <row r="161" spans="1:10" ht="15.75" customHeight="1" x14ac:dyDescent="0.3">
      <c r="A161" s="21" t="s">
        <v>197</v>
      </c>
      <c r="B161" s="21" t="s">
        <v>27</v>
      </c>
      <c r="C161" s="21">
        <v>510</v>
      </c>
      <c r="D161" s="21">
        <v>195</v>
      </c>
      <c r="E161" s="21">
        <v>224534</v>
      </c>
      <c r="F161" s="21">
        <v>9.4</v>
      </c>
      <c r="G161" s="21">
        <v>30987</v>
      </c>
      <c r="H161" s="21">
        <f t="shared" si="6"/>
        <v>224219</v>
      </c>
      <c r="I161" s="23">
        <f t="shared" si="7"/>
        <v>1.4048764823676851E-3</v>
      </c>
      <c r="J161">
        <f t="shared" si="8"/>
        <v>315</v>
      </c>
    </row>
    <row r="162" spans="1:10" ht="15.75" customHeight="1" x14ac:dyDescent="0.3">
      <c r="A162" s="21" t="s">
        <v>586</v>
      </c>
      <c r="B162" s="21" t="s">
        <v>33</v>
      </c>
      <c r="C162" s="21">
        <v>393</v>
      </c>
      <c r="D162" s="21">
        <v>181</v>
      </c>
      <c r="E162" s="21">
        <v>462142</v>
      </c>
      <c r="F162" s="21">
        <v>7.23</v>
      </c>
      <c r="G162" s="21">
        <v>6296</v>
      </c>
      <c r="H162" s="21">
        <f t="shared" si="6"/>
        <v>461930</v>
      </c>
      <c r="I162" s="23">
        <f t="shared" si="7"/>
        <v>4.5894399584352609E-4</v>
      </c>
      <c r="J162">
        <f t="shared" si="8"/>
        <v>212</v>
      </c>
    </row>
    <row r="163" spans="1:10" ht="15.75" customHeight="1" x14ac:dyDescent="0.3">
      <c r="A163" s="21" t="s">
        <v>586</v>
      </c>
      <c r="B163" s="21" t="s">
        <v>43</v>
      </c>
      <c r="C163" s="21">
        <v>1098</v>
      </c>
      <c r="D163" s="21">
        <v>190</v>
      </c>
      <c r="E163" s="21">
        <v>340842</v>
      </c>
      <c r="F163" s="21">
        <v>9.39</v>
      </c>
      <c r="G163" s="21">
        <v>21539</v>
      </c>
      <c r="H163" s="21">
        <f t="shared" si="6"/>
        <v>339934</v>
      </c>
      <c r="I163" s="23">
        <f t="shared" si="7"/>
        <v>2.6711067442503544E-3</v>
      </c>
      <c r="J163">
        <f t="shared" si="8"/>
        <v>908</v>
      </c>
    </row>
    <row r="164" spans="1:10" ht="15.75" customHeight="1" x14ac:dyDescent="0.3">
      <c r="A164" s="21" t="s">
        <v>586</v>
      </c>
      <c r="B164" s="21" t="s">
        <v>14</v>
      </c>
      <c r="C164" s="21">
        <v>1399</v>
      </c>
      <c r="D164" s="21">
        <v>49</v>
      </c>
      <c r="E164" s="21">
        <v>12471</v>
      </c>
      <c r="F164" s="21">
        <v>5.12</v>
      </c>
      <c r="G164" s="21">
        <v>14722</v>
      </c>
      <c r="H164" s="21">
        <f t="shared" si="6"/>
        <v>11121</v>
      </c>
      <c r="I164" s="23">
        <f t="shared" si="7"/>
        <v>0.12139196115457243</v>
      </c>
      <c r="J164">
        <f t="shared" si="8"/>
        <v>1350</v>
      </c>
    </row>
    <row r="165" spans="1:10" ht="15.75" customHeight="1" x14ac:dyDescent="0.3">
      <c r="A165" s="21" t="s">
        <v>586</v>
      </c>
      <c r="B165" s="21" t="s">
        <v>27</v>
      </c>
      <c r="C165" s="21">
        <v>1658</v>
      </c>
      <c r="D165" s="21">
        <v>416</v>
      </c>
      <c r="E165" s="21">
        <v>98397</v>
      </c>
      <c r="F165" s="21">
        <v>6.11</v>
      </c>
      <c r="G165" s="21">
        <v>11383</v>
      </c>
      <c r="H165" s="21">
        <f t="shared" si="6"/>
        <v>97155</v>
      </c>
      <c r="I165" s="23">
        <f t="shared" si="7"/>
        <v>1.2783696155627605E-2</v>
      </c>
      <c r="J165">
        <f t="shared" si="8"/>
        <v>1242</v>
      </c>
    </row>
    <row r="166" spans="1:10" ht="15.75" customHeight="1" x14ac:dyDescent="0.3">
      <c r="A166" s="21" t="s">
        <v>587</v>
      </c>
      <c r="B166" s="21" t="s">
        <v>33</v>
      </c>
      <c r="C166" s="21">
        <v>1102</v>
      </c>
      <c r="D166" s="21">
        <v>422</v>
      </c>
      <c r="E166" s="21">
        <v>410330</v>
      </c>
      <c r="F166" s="21">
        <v>7.74</v>
      </c>
      <c r="G166" s="21">
        <v>9480</v>
      </c>
      <c r="H166" s="21">
        <f t="shared" si="6"/>
        <v>409650</v>
      </c>
      <c r="I166" s="23">
        <f t="shared" si="7"/>
        <v>1.6599536189430002E-3</v>
      </c>
      <c r="J166">
        <f t="shared" si="8"/>
        <v>680</v>
      </c>
    </row>
    <row r="167" spans="1:10" ht="15.75" customHeight="1" x14ac:dyDescent="0.3">
      <c r="A167" s="21" t="s">
        <v>587</v>
      </c>
      <c r="B167" s="21" t="s">
        <v>43</v>
      </c>
      <c r="C167" s="21">
        <v>1358</v>
      </c>
      <c r="D167" s="21">
        <v>242</v>
      </c>
      <c r="E167" s="21">
        <v>342129</v>
      </c>
      <c r="F167" s="21">
        <v>4.9400000000000004</v>
      </c>
      <c r="G167" s="21">
        <v>29116</v>
      </c>
      <c r="H167" s="21">
        <f t="shared" si="6"/>
        <v>341013</v>
      </c>
      <c r="I167" s="23">
        <f t="shared" si="7"/>
        <v>3.2726025107547218E-3</v>
      </c>
      <c r="J167">
        <f t="shared" si="8"/>
        <v>1116</v>
      </c>
    </row>
    <row r="168" spans="1:10" ht="15.75" customHeight="1" x14ac:dyDescent="0.3">
      <c r="A168" s="21" t="s">
        <v>587</v>
      </c>
      <c r="B168" s="21" t="s">
        <v>14</v>
      </c>
      <c r="C168" s="21">
        <v>1077</v>
      </c>
      <c r="D168" s="21">
        <v>216</v>
      </c>
      <c r="E168" s="21">
        <v>12447</v>
      </c>
      <c r="F168" s="21">
        <v>1.8</v>
      </c>
      <c r="G168" s="21">
        <v>14068</v>
      </c>
      <c r="H168" s="21">
        <f t="shared" si="6"/>
        <v>11586</v>
      </c>
      <c r="I168" s="23">
        <f t="shared" si="7"/>
        <v>7.4313827032625582E-2</v>
      </c>
      <c r="J168">
        <f t="shared" si="8"/>
        <v>861</v>
      </c>
    </row>
    <row r="169" spans="1:10" ht="15.75" customHeight="1" x14ac:dyDescent="0.3">
      <c r="A169" s="21" t="s">
        <v>587</v>
      </c>
      <c r="B169" s="21" t="s">
        <v>27</v>
      </c>
      <c r="C169" s="21">
        <v>1596</v>
      </c>
      <c r="D169" s="21">
        <v>211</v>
      </c>
      <c r="E169" s="21">
        <v>17380</v>
      </c>
      <c r="F169" s="21">
        <v>8.64</v>
      </c>
      <c r="G169" s="21">
        <v>35801</v>
      </c>
      <c r="H169" s="21">
        <f t="shared" si="6"/>
        <v>15995</v>
      </c>
      <c r="I169" s="23">
        <f t="shared" si="7"/>
        <v>8.6589559237261637E-2</v>
      </c>
      <c r="J169">
        <f t="shared" si="8"/>
        <v>1385</v>
      </c>
    </row>
    <row r="170" spans="1:10" ht="15.75" customHeight="1" x14ac:dyDescent="0.3">
      <c r="A170" s="21" t="s">
        <v>234</v>
      </c>
      <c r="B170" s="21" t="s">
        <v>33</v>
      </c>
      <c r="C170" s="21">
        <v>490</v>
      </c>
      <c r="D170" s="21">
        <v>29</v>
      </c>
      <c r="E170" s="21">
        <v>364810</v>
      </c>
      <c r="F170" s="21">
        <v>1.53</v>
      </c>
      <c r="G170" s="21">
        <v>49077</v>
      </c>
      <c r="H170" s="21">
        <f t="shared" si="6"/>
        <v>364349</v>
      </c>
      <c r="I170" s="23">
        <f t="shared" si="7"/>
        <v>1.2652703863603304E-3</v>
      </c>
      <c r="J170">
        <f t="shared" si="8"/>
        <v>461</v>
      </c>
    </row>
    <row r="171" spans="1:10" ht="15.75" customHeight="1" x14ac:dyDescent="0.3">
      <c r="A171" s="21" t="s">
        <v>234</v>
      </c>
      <c r="B171" s="21" t="s">
        <v>43</v>
      </c>
      <c r="C171" s="21">
        <v>609</v>
      </c>
      <c r="D171" s="21">
        <v>135</v>
      </c>
      <c r="E171" s="21">
        <v>373606</v>
      </c>
      <c r="F171" s="21">
        <v>8.52</v>
      </c>
      <c r="G171" s="21">
        <v>21453</v>
      </c>
      <c r="H171" s="21">
        <f t="shared" si="6"/>
        <v>373132</v>
      </c>
      <c r="I171" s="23">
        <f t="shared" si="7"/>
        <v>1.2703279268462635E-3</v>
      </c>
      <c r="J171">
        <f t="shared" si="8"/>
        <v>474</v>
      </c>
    </row>
    <row r="172" spans="1:10" ht="15.75" customHeight="1" x14ac:dyDescent="0.3">
      <c r="A172" s="21" t="s">
        <v>234</v>
      </c>
      <c r="B172" s="21" t="s">
        <v>14</v>
      </c>
      <c r="C172" s="21">
        <v>364</v>
      </c>
      <c r="D172" s="21">
        <v>72</v>
      </c>
      <c r="E172" s="21">
        <v>211090</v>
      </c>
      <c r="F172" s="21">
        <v>5.53</v>
      </c>
      <c r="G172" s="21">
        <v>21061</v>
      </c>
      <c r="H172" s="21">
        <f t="shared" si="6"/>
        <v>210798</v>
      </c>
      <c r="I172" s="23">
        <f t="shared" si="7"/>
        <v>1.3852123834191975E-3</v>
      </c>
      <c r="J172">
        <f t="shared" si="8"/>
        <v>292</v>
      </c>
    </row>
    <row r="173" spans="1:10" ht="15.75" customHeight="1" x14ac:dyDescent="0.3">
      <c r="A173" s="21" t="s">
        <v>234</v>
      </c>
      <c r="B173" s="21" t="s">
        <v>27</v>
      </c>
      <c r="C173" s="21">
        <v>442</v>
      </c>
      <c r="D173" s="21">
        <v>53</v>
      </c>
      <c r="E173" s="21">
        <v>441931</v>
      </c>
      <c r="F173" s="21">
        <v>1.87</v>
      </c>
      <c r="G173" s="21">
        <v>20059</v>
      </c>
      <c r="H173" s="21">
        <f t="shared" si="6"/>
        <v>441542</v>
      </c>
      <c r="I173" s="23">
        <f t="shared" si="7"/>
        <v>8.8100339265573832E-4</v>
      </c>
      <c r="J173">
        <f t="shared" si="8"/>
        <v>389</v>
      </c>
    </row>
    <row r="174" spans="1:10" ht="15.75" customHeight="1" x14ac:dyDescent="0.3">
      <c r="A174" s="21" t="s">
        <v>588</v>
      </c>
      <c r="B174" s="21" t="s">
        <v>33</v>
      </c>
      <c r="C174" s="21">
        <v>1033</v>
      </c>
      <c r="D174" s="21">
        <v>392</v>
      </c>
      <c r="E174" s="21">
        <v>282780</v>
      </c>
      <c r="F174" s="21">
        <v>6.27</v>
      </c>
      <c r="G174" s="21">
        <v>23140</v>
      </c>
      <c r="H174" s="21">
        <f t="shared" si="6"/>
        <v>282139</v>
      </c>
      <c r="I174" s="23">
        <f t="shared" si="7"/>
        <v>2.2719297934705941E-3</v>
      </c>
      <c r="J174">
        <f t="shared" si="8"/>
        <v>641</v>
      </c>
    </row>
    <row r="175" spans="1:10" ht="15.75" customHeight="1" x14ac:dyDescent="0.3">
      <c r="A175" s="21" t="s">
        <v>588</v>
      </c>
      <c r="B175" s="21" t="s">
        <v>43</v>
      </c>
      <c r="C175" s="21">
        <v>988</v>
      </c>
      <c r="D175" s="21">
        <v>474</v>
      </c>
      <c r="E175" s="21">
        <v>370070</v>
      </c>
      <c r="F175" s="21">
        <v>9.4600000000000009</v>
      </c>
      <c r="G175" s="21">
        <v>23461</v>
      </c>
      <c r="H175" s="21">
        <f t="shared" si="6"/>
        <v>369556</v>
      </c>
      <c r="I175" s="23">
        <f t="shared" si="7"/>
        <v>1.3908582190520517E-3</v>
      </c>
      <c r="J175">
        <f t="shared" si="8"/>
        <v>514</v>
      </c>
    </row>
    <row r="176" spans="1:10" ht="15.75" customHeight="1" x14ac:dyDescent="0.3">
      <c r="A176" s="21" t="s">
        <v>588</v>
      </c>
      <c r="B176" s="21" t="s">
        <v>14</v>
      </c>
      <c r="C176" s="21">
        <v>1946</v>
      </c>
      <c r="D176" s="21">
        <v>270</v>
      </c>
      <c r="E176" s="21">
        <v>198350</v>
      </c>
      <c r="F176" s="21">
        <v>7.5</v>
      </c>
      <c r="G176" s="21">
        <v>11805</v>
      </c>
      <c r="H176" s="21">
        <f t="shared" si="6"/>
        <v>196674</v>
      </c>
      <c r="I176" s="23">
        <f t="shared" si="7"/>
        <v>8.5217161393981913E-3</v>
      </c>
      <c r="J176">
        <f t="shared" si="8"/>
        <v>1676</v>
      </c>
    </row>
    <row r="177" spans="1:10" ht="15.75" customHeight="1" x14ac:dyDescent="0.3">
      <c r="A177" s="21" t="s">
        <v>588</v>
      </c>
      <c r="B177" s="21" t="s">
        <v>27</v>
      </c>
      <c r="C177" s="21">
        <v>1957</v>
      </c>
      <c r="D177" s="21">
        <v>490</v>
      </c>
      <c r="E177" s="21">
        <v>435726</v>
      </c>
      <c r="F177" s="21">
        <v>4.7300000000000004</v>
      </c>
      <c r="G177" s="21">
        <v>15969</v>
      </c>
      <c r="H177" s="21">
        <f t="shared" si="6"/>
        <v>434259</v>
      </c>
      <c r="I177" s="23">
        <f t="shared" si="7"/>
        <v>3.3781683281175518E-3</v>
      </c>
      <c r="J177">
        <f t="shared" si="8"/>
        <v>1467</v>
      </c>
    </row>
    <row r="178" spans="1:10" ht="15.75" customHeight="1" x14ac:dyDescent="0.3">
      <c r="A178" s="21" t="s">
        <v>412</v>
      </c>
      <c r="B178" s="21" t="s">
        <v>33</v>
      </c>
      <c r="C178" s="21">
        <v>559</v>
      </c>
      <c r="D178" s="21">
        <v>392</v>
      </c>
      <c r="E178" s="21">
        <v>78789</v>
      </c>
      <c r="F178" s="21">
        <v>3.19</v>
      </c>
      <c r="G178" s="21">
        <v>2436</v>
      </c>
      <c r="H178" s="21">
        <f t="shared" si="6"/>
        <v>78622</v>
      </c>
      <c r="I178" s="23">
        <f t="shared" si="7"/>
        <v>2.1240874055607844E-3</v>
      </c>
      <c r="J178">
        <f t="shared" si="8"/>
        <v>167</v>
      </c>
    </row>
    <row r="179" spans="1:10" ht="15.75" customHeight="1" x14ac:dyDescent="0.3">
      <c r="A179" s="21" t="s">
        <v>412</v>
      </c>
      <c r="B179" s="21" t="s">
        <v>43</v>
      </c>
      <c r="C179" s="21">
        <v>1307</v>
      </c>
      <c r="D179" s="21">
        <v>278</v>
      </c>
      <c r="E179" s="21">
        <v>98596</v>
      </c>
      <c r="F179" s="21">
        <v>2.4900000000000002</v>
      </c>
      <c r="G179" s="21">
        <v>47603</v>
      </c>
      <c r="H179" s="21">
        <f t="shared" si="6"/>
        <v>97567</v>
      </c>
      <c r="I179" s="23">
        <f t="shared" si="7"/>
        <v>1.0546598747527339E-2</v>
      </c>
      <c r="J179">
        <f t="shared" si="8"/>
        <v>1029</v>
      </c>
    </row>
    <row r="180" spans="1:10" ht="15.75" customHeight="1" x14ac:dyDescent="0.3">
      <c r="A180" s="21" t="s">
        <v>412</v>
      </c>
      <c r="B180" s="21" t="s">
        <v>14</v>
      </c>
      <c r="C180" s="21">
        <v>1432</v>
      </c>
      <c r="D180" s="21">
        <v>425</v>
      </c>
      <c r="E180" s="21">
        <v>29589</v>
      </c>
      <c r="F180" s="21">
        <v>4.5</v>
      </c>
      <c r="G180" s="21">
        <v>42964</v>
      </c>
      <c r="H180" s="21">
        <f t="shared" si="6"/>
        <v>28582</v>
      </c>
      <c r="I180" s="23">
        <f t="shared" si="7"/>
        <v>3.5231964173255893E-2</v>
      </c>
      <c r="J180">
        <f t="shared" si="8"/>
        <v>1007</v>
      </c>
    </row>
    <row r="181" spans="1:10" ht="15.75" customHeight="1" x14ac:dyDescent="0.3">
      <c r="A181" s="21" t="s">
        <v>412</v>
      </c>
      <c r="B181" s="21" t="s">
        <v>27</v>
      </c>
      <c r="C181" s="21">
        <v>623</v>
      </c>
      <c r="D181" s="21">
        <v>414</v>
      </c>
      <c r="E181" s="21">
        <v>290354</v>
      </c>
      <c r="F181" s="21">
        <v>6.49</v>
      </c>
      <c r="G181" s="21">
        <v>39923</v>
      </c>
      <c r="H181" s="21">
        <f t="shared" si="6"/>
        <v>290145</v>
      </c>
      <c r="I181" s="23">
        <f t="shared" si="7"/>
        <v>7.2032949042720017E-4</v>
      </c>
      <c r="J181">
        <f t="shared" si="8"/>
        <v>209</v>
      </c>
    </row>
    <row r="182" spans="1:10" ht="15.75" customHeight="1" x14ac:dyDescent="0.3">
      <c r="A182" s="21" t="s">
        <v>589</v>
      </c>
      <c r="B182" s="21" t="s">
        <v>33</v>
      </c>
      <c r="C182" s="21">
        <v>198</v>
      </c>
      <c r="D182" s="21">
        <v>358</v>
      </c>
      <c r="E182" s="21">
        <v>66682</v>
      </c>
      <c r="F182" s="21">
        <v>6.73</v>
      </c>
      <c r="G182" s="21">
        <v>2293</v>
      </c>
      <c r="H182" s="21">
        <f t="shared" si="6"/>
        <v>66842</v>
      </c>
      <c r="I182" s="23">
        <f t="shared" si="7"/>
        <v>-2.3937045570150504E-3</v>
      </c>
      <c r="J182">
        <f t="shared" si="8"/>
        <v>-160</v>
      </c>
    </row>
    <row r="183" spans="1:10" ht="15.75" customHeight="1" x14ac:dyDescent="0.3">
      <c r="A183" s="21" t="s">
        <v>589</v>
      </c>
      <c r="B183" s="21" t="s">
        <v>43</v>
      </c>
      <c r="C183" s="21">
        <v>198</v>
      </c>
      <c r="D183" s="21">
        <v>373</v>
      </c>
      <c r="E183" s="21">
        <v>70707</v>
      </c>
      <c r="F183" s="21">
        <v>4.83</v>
      </c>
      <c r="G183" s="21">
        <v>25920</v>
      </c>
      <c r="H183" s="21">
        <f t="shared" si="6"/>
        <v>70882</v>
      </c>
      <c r="I183" s="23">
        <f t="shared" si="7"/>
        <v>-2.4688919612877742E-3</v>
      </c>
      <c r="J183">
        <f t="shared" si="8"/>
        <v>-175</v>
      </c>
    </row>
    <row r="184" spans="1:10" ht="15.75" customHeight="1" x14ac:dyDescent="0.3">
      <c r="A184" s="21" t="s">
        <v>589</v>
      </c>
      <c r="B184" s="21" t="s">
        <v>14</v>
      </c>
      <c r="C184" s="21">
        <v>353</v>
      </c>
      <c r="D184" s="21">
        <v>300</v>
      </c>
      <c r="E184" s="21">
        <v>142507</v>
      </c>
      <c r="F184" s="21">
        <v>5.3</v>
      </c>
      <c r="G184" s="21">
        <v>11035</v>
      </c>
      <c r="H184" s="21">
        <f t="shared" si="6"/>
        <v>142454</v>
      </c>
      <c r="I184" s="23">
        <f t="shared" si="7"/>
        <v>3.7204992488803405E-4</v>
      </c>
      <c r="J184">
        <f t="shared" si="8"/>
        <v>53</v>
      </c>
    </row>
    <row r="185" spans="1:10" ht="15.75" customHeight="1" x14ac:dyDescent="0.3">
      <c r="A185" s="21" t="s">
        <v>589</v>
      </c>
      <c r="B185" s="21" t="s">
        <v>27</v>
      </c>
      <c r="C185" s="21">
        <v>520</v>
      </c>
      <c r="D185" s="21">
        <v>375</v>
      </c>
      <c r="E185" s="21">
        <v>369525</v>
      </c>
      <c r="F185" s="21">
        <v>6.54</v>
      </c>
      <c r="G185" s="21">
        <v>20733</v>
      </c>
      <c r="H185" s="21">
        <f t="shared" si="6"/>
        <v>369380</v>
      </c>
      <c r="I185" s="23">
        <f t="shared" si="7"/>
        <v>3.9254967783854025E-4</v>
      </c>
      <c r="J185">
        <f t="shared" si="8"/>
        <v>145</v>
      </c>
    </row>
    <row r="186" spans="1:10" ht="15.75" customHeight="1" x14ac:dyDescent="0.3">
      <c r="A186" s="21" t="s">
        <v>590</v>
      </c>
      <c r="B186" s="21" t="s">
        <v>33</v>
      </c>
      <c r="C186" s="21">
        <v>961</v>
      </c>
      <c r="D186" s="21">
        <v>358</v>
      </c>
      <c r="E186" s="21">
        <v>62942</v>
      </c>
      <c r="F186" s="21">
        <v>6.8</v>
      </c>
      <c r="G186" s="21">
        <v>18693</v>
      </c>
      <c r="H186" s="21">
        <f t="shared" si="6"/>
        <v>62339</v>
      </c>
      <c r="I186" s="23">
        <f t="shared" si="7"/>
        <v>9.6729174353133666E-3</v>
      </c>
      <c r="J186">
        <f t="shared" si="8"/>
        <v>603</v>
      </c>
    </row>
    <row r="187" spans="1:10" ht="15.75" customHeight="1" x14ac:dyDescent="0.3">
      <c r="A187" s="21" t="s">
        <v>590</v>
      </c>
      <c r="B187" s="21" t="s">
        <v>43</v>
      </c>
      <c r="C187" s="21">
        <v>1375</v>
      </c>
      <c r="D187" s="21">
        <v>330</v>
      </c>
      <c r="E187" s="21">
        <v>377382</v>
      </c>
      <c r="F187" s="21">
        <v>2.6</v>
      </c>
      <c r="G187" s="21">
        <v>7875</v>
      </c>
      <c r="H187" s="21">
        <f t="shared" si="6"/>
        <v>376337</v>
      </c>
      <c r="I187" s="23">
        <f t="shared" si="7"/>
        <v>2.7767665682619565E-3</v>
      </c>
      <c r="J187">
        <f t="shared" si="8"/>
        <v>1045</v>
      </c>
    </row>
    <row r="188" spans="1:10" ht="15.75" customHeight="1" x14ac:dyDescent="0.3">
      <c r="A188" s="21" t="s">
        <v>590</v>
      </c>
      <c r="B188" s="21" t="s">
        <v>14</v>
      </c>
      <c r="C188" s="21">
        <v>1147</v>
      </c>
      <c r="D188" s="21">
        <v>388</v>
      </c>
      <c r="E188" s="21">
        <v>333851</v>
      </c>
      <c r="F188" s="21">
        <v>2.44</v>
      </c>
      <c r="G188" s="21">
        <v>8471</v>
      </c>
      <c r="H188" s="21">
        <f t="shared" si="6"/>
        <v>333092</v>
      </c>
      <c r="I188" s="23">
        <f t="shared" si="7"/>
        <v>2.2786497424135072E-3</v>
      </c>
      <c r="J188">
        <f t="shared" si="8"/>
        <v>759</v>
      </c>
    </row>
    <row r="189" spans="1:10" ht="15.75" customHeight="1" x14ac:dyDescent="0.3">
      <c r="A189" s="21" t="s">
        <v>590</v>
      </c>
      <c r="B189" s="21" t="s">
        <v>27</v>
      </c>
      <c r="C189" s="21">
        <v>1707</v>
      </c>
      <c r="D189" s="21">
        <v>74</v>
      </c>
      <c r="E189" s="21">
        <v>270958</v>
      </c>
      <c r="F189" s="21">
        <v>3.09</v>
      </c>
      <c r="G189" s="21">
        <v>14090</v>
      </c>
      <c r="H189" s="21">
        <f t="shared" si="6"/>
        <v>269325</v>
      </c>
      <c r="I189" s="23">
        <f t="shared" si="7"/>
        <v>6.0633064141836068E-3</v>
      </c>
      <c r="J189">
        <f t="shared" si="8"/>
        <v>1633</v>
      </c>
    </row>
    <row r="190" spans="1:10" ht="15.75" customHeight="1" x14ac:dyDescent="0.3">
      <c r="A190" s="21" t="s">
        <v>364</v>
      </c>
      <c r="B190" s="21" t="s">
        <v>33</v>
      </c>
      <c r="C190" s="21">
        <v>1693</v>
      </c>
      <c r="D190" s="21">
        <v>154</v>
      </c>
      <c r="E190" s="21">
        <v>445944</v>
      </c>
      <c r="F190" s="21">
        <v>5.69</v>
      </c>
      <c r="G190" s="21">
        <v>14216</v>
      </c>
      <c r="H190" s="21">
        <f t="shared" si="6"/>
        <v>444405</v>
      </c>
      <c r="I190" s="23">
        <f t="shared" si="7"/>
        <v>3.4630573463394878E-3</v>
      </c>
      <c r="J190">
        <f t="shared" si="8"/>
        <v>1539</v>
      </c>
    </row>
    <row r="191" spans="1:10" ht="15.75" customHeight="1" x14ac:dyDescent="0.3">
      <c r="A191" s="21" t="s">
        <v>364</v>
      </c>
      <c r="B191" s="21" t="s">
        <v>43</v>
      </c>
      <c r="C191" s="21">
        <v>833</v>
      </c>
      <c r="D191" s="21">
        <v>380</v>
      </c>
      <c r="E191" s="21">
        <v>224830</v>
      </c>
      <c r="F191" s="21">
        <v>3.86</v>
      </c>
      <c r="G191" s="21">
        <v>3582</v>
      </c>
      <c r="H191" s="21">
        <f t="shared" si="6"/>
        <v>224377</v>
      </c>
      <c r="I191" s="23">
        <f t="shared" si="7"/>
        <v>2.0189235082027123E-3</v>
      </c>
      <c r="J191">
        <f t="shared" si="8"/>
        <v>453</v>
      </c>
    </row>
    <row r="192" spans="1:10" ht="15.75" customHeight="1" x14ac:dyDescent="0.3">
      <c r="A192" s="21" t="s">
        <v>364</v>
      </c>
      <c r="B192" s="21" t="s">
        <v>14</v>
      </c>
      <c r="C192" s="21">
        <v>1222</v>
      </c>
      <c r="D192" s="21">
        <v>274</v>
      </c>
      <c r="E192" s="21">
        <v>487289</v>
      </c>
      <c r="F192" s="21">
        <v>3.16</v>
      </c>
      <c r="G192" s="21">
        <v>32500</v>
      </c>
      <c r="H192" s="21">
        <f t="shared" si="6"/>
        <v>486341</v>
      </c>
      <c r="I192" s="23">
        <f t="shared" si="7"/>
        <v>1.9492496005888871E-3</v>
      </c>
      <c r="J192">
        <f t="shared" si="8"/>
        <v>948</v>
      </c>
    </row>
    <row r="193" spans="1:10" ht="15.75" customHeight="1" x14ac:dyDescent="0.3">
      <c r="A193" s="21" t="s">
        <v>364</v>
      </c>
      <c r="B193" s="21" t="s">
        <v>27</v>
      </c>
      <c r="C193" s="21">
        <v>777</v>
      </c>
      <c r="D193" s="21">
        <v>140</v>
      </c>
      <c r="E193" s="21">
        <v>11435</v>
      </c>
      <c r="F193" s="21">
        <v>1.6</v>
      </c>
      <c r="G193" s="21">
        <v>6832</v>
      </c>
      <c r="H193" s="21">
        <f t="shared" si="6"/>
        <v>10798</v>
      </c>
      <c r="I193" s="23">
        <f t="shared" si="7"/>
        <v>5.8992406001111317E-2</v>
      </c>
      <c r="J193">
        <f t="shared" si="8"/>
        <v>637</v>
      </c>
    </row>
    <row r="194" spans="1:10" ht="15.75" customHeight="1" x14ac:dyDescent="0.3">
      <c r="A194" s="21" t="s">
        <v>79</v>
      </c>
      <c r="B194" s="21" t="s">
        <v>33</v>
      </c>
      <c r="C194" s="21">
        <v>1957</v>
      </c>
      <c r="D194" s="21">
        <v>76</v>
      </c>
      <c r="E194" s="21">
        <v>447902</v>
      </c>
      <c r="F194" s="21">
        <v>6.09</v>
      </c>
      <c r="G194" s="21">
        <v>33381</v>
      </c>
      <c r="H194" s="21">
        <f t="shared" si="6"/>
        <v>446021</v>
      </c>
      <c r="I194" s="23">
        <f t="shared" si="7"/>
        <v>4.2172902172767646E-3</v>
      </c>
      <c r="J194">
        <f t="shared" si="8"/>
        <v>1881</v>
      </c>
    </row>
    <row r="195" spans="1:10" ht="15.75" customHeight="1" x14ac:dyDescent="0.3">
      <c r="A195" s="21" t="s">
        <v>79</v>
      </c>
      <c r="B195" s="21" t="s">
        <v>43</v>
      </c>
      <c r="C195" s="21">
        <v>405</v>
      </c>
      <c r="D195" s="21">
        <v>66</v>
      </c>
      <c r="E195" s="21">
        <v>418696</v>
      </c>
      <c r="F195" s="21">
        <v>5.59</v>
      </c>
      <c r="G195" s="21">
        <v>48419</v>
      </c>
      <c r="H195" s="21">
        <f t="shared" ref="H195:H201" si="9">E195-C195+D195</f>
        <v>418357</v>
      </c>
      <c r="I195" s="23">
        <f t="shared" ref="I195:I201" si="10">(E195-H195)/H195</f>
        <v>8.1031272334393834E-4</v>
      </c>
      <c r="J195">
        <f t="shared" ref="J195:J201" si="11">C195-D195</f>
        <v>339</v>
      </c>
    </row>
    <row r="196" spans="1:10" ht="15.75" customHeight="1" x14ac:dyDescent="0.3">
      <c r="A196" s="21" t="s">
        <v>79</v>
      </c>
      <c r="B196" s="21" t="s">
        <v>14</v>
      </c>
      <c r="C196" s="21">
        <v>1581</v>
      </c>
      <c r="D196" s="21">
        <v>71</v>
      </c>
      <c r="E196" s="21">
        <v>484364</v>
      </c>
      <c r="F196" s="21">
        <v>3.55</v>
      </c>
      <c r="G196" s="21">
        <v>16149</v>
      </c>
      <c r="H196" s="21">
        <f t="shared" si="9"/>
        <v>482854</v>
      </c>
      <c r="I196" s="23">
        <f t="shared" si="10"/>
        <v>3.1272392897231877E-3</v>
      </c>
      <c r="J196">
        <f t="shared" si="11"/>
        <v>1510</v>
      </c>
    </row>
    <row r="197" spans="1:10" ht="15.75" customHeight="1" x14ac:dyDescent="0.3">
      <c r="A197" s="21" t="s">
        <v>79</v>
      </c>
      <c r="B197" s="21" t="s">
        <v>27</v>
      </c>
      <c r="C197" s="21">
        <v>1035</v>
      </c>
      <c r="D197" s="21">
        <v>171</v>
      </c>
      <c r="E197" s="21">
        <v>148477</v>
      </c>
      <c r="F197" s="21">
        <v>5.21</v>
      </c>
      <c r="G197" s="21">
        <v>7541</v>
      </c>
      <c r="H197" s="21">
        <f t="shared" si="9"/>
        <v>147613</v>
      </c>
      <c r="I197" s="23">
        <f t="shared" si="10"/>
        <v>5.8531430158590371E-3</v>
      </c>
      <c r="J197">
        <f t="shared" si="11"/>
        <v>864</v>
      </c>
    </row>
    <row r="198" spans="1:10" ht="15.75" customHeight="1" x14ac:dyDescent="0.3">
      <c r="A198" s="21" t="s">
        <v>28</v>
      </c>
      <c r="B198" s="21" t="s">
        <v>33</v>
      </c>
      <c r="C198" s="21">
        <v>1765</v>
      </c>
      <c r="D198" s="21">
        <v>109</v>
      </c>
      <c r="E198" s="21">
        <v>468301</v>
      </c>
      <c r="F198" s="21">
        <v>1.82</v>
      </c>
      <c r="G198" s="21">
        <v>20042</v>
      </c>
      <c r="H198" s="21">
        <f t="shared" si="9"/>
        <v>466645</v>
      </c>
      <c r="I198" s="23">
        <f t="shared" si="10"/>
        <v>3.5487361913231685E-3</v>
      </c>
      <c r="J198">
        <f t="shared" si="11"/>
        <v>1656</v>
      </c>
    </row>
    <row r="199" spans="1:10" ht="15.75" customHeight="1" x14ac:dyDescent="0.3">
      <c r="A199" s="21" t="s">
        <v>28</v>
      </c>
      <c r="B199" s="21" t="s">
        <v>43</v>
      </c>
      <c r="C199" s="21">
        <v>837</v>
      </c>
      <c r="D199" s="21">
        <v>430</v>
      </c>
      <c r="E199" s="21">
        <v>364820</v>
      </c>
      <c r="F199" s="21">
        <v>4</v>
      </c>
      <c r="G199" s="21">
        <v>49400</v>
      </c>
      <c r="H199" s="21">
        <f t="shared" si="9"/>
        <v>364413</v>
      </c>
      <c r="I199" s="23">
        <f t="shared" si="10"/>
        <v>1.1168646563102854E-3</v>
      </c>
      <c r="J199">
        <f t="shared" si="11"/>
        <v>407</v>
      </c>
    </row>
    <row r="200" spans="1:10" ht="15.75" customHeight="1" x14ac:dyDescent="0.3">
      <c r="A200" s="21" t="s">
        <v>28</v>
      </c>
      <c r="B200" s="21" t="s">
        <v>14</v>
      </c>
      <c r="C200" s="21">
        <v>337</v>
      </c>
      <c r="D200" s="21">
        <v>68</v>
      </c>
      <c r="E200" s="21">
        <v>456298</v>
      </c>
      <c r="F200" s="21">
        <v>7.57</v>
      </c>
      <c r="G200" s="21">
        <v>4007</v>
      </c>
      <c r="H200" s="21">
        <f t="shared" si="9"/>
        <v>456029</v>
      </c>
      <c r="I200" s="23">
        <f t="shared" si="10"/>
        <v>5.8987476673632601E-4</v>
      </c>
      <c r="J200">
        <f t="shared" si="11"/>
        <v>269</v>
      </c>
    </row>
    <row r="201" spans="1:10" ht="15.75" customHeight="1" x14ac:dyDescent="0.3">
      <c r="A201" s="21" t="s">
        <v>28</v>
      </c>
      <c r="B201" s="21" t="s">
        <v>27</v>
      </c>
      <c r="C201" s="21">
        <v>119</v>
      </c>
      <c r="D201" s="21">
        <v>456</v>
      </c>
      <c r="E201" s="21">
        <v>82558</v>
      </c>
      <c r="F201" s="21">
        <v>6.81</v>
      </c>
      <c r="G201" s="21">
        <v>12174</v>
      </c>
      <c r="H201" s="21">
        <f t="shared" si="9"/>
        <v>82895</v>
      </c>
      <c r="I201" s="23">
        <f t="shared" si="10"/>
        <v>-4.0653839194161288E-3</v>
      </c>
      <c r="J201">
        <f t="shared" si="11"/>
        <v>-337</v>
      </c>
    </row>
    <row r="202" spans="1:10" ht="15.75" customHeight="1" x14ac:dyDescent="0.3"/>
    <row r="203" spans="1:10" ht="15.75" customHeight="1" x14ac:dyDescent="0.3"/>
    <row r="204" spans="1:10" ht="15.75" customHeight="1" x14ac:dyDescent="0.3"/>
    <row r="205" spans="1:10" ht="15.75" customHeight="1" x14ac:dyDescent="0.3"/>
    <row r="206" spans="1:10" ht="15.75" customHeight="1" x14ac:dyDescent="0.3"/>
    <row r="207" spans="1:10" ht="15.75" customHeight="1" x14ac:dyDescent="0.3"/>
    <row r="208" spans="1:10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C250-A302-4188-9D03-B5E3FD7D2384}">
  <dimension ref="A1:F201"/>
  <sheetViews>
    <sheetView tabSelected="1" workbookViewId="0">
      <selection activeCell="E15" sqref="E15"/>
    </sheetView>
  </sheetViews>
  <sheetFormatPr defaultRowHeight="14.4" x14ac:dyDescent="0.3"/>
  <cols>
    <col min="1" max="1" width="20.6640625" customWidth="1"/>
    <col min="2" max="2" width="14.5546875" customWidth="1"/>
    <col min="5" max="5" width="34" customWidth="1"/>
    <col min="6" max="6" width="33.21875" customWidth="1"/>
  </cols>
  <sheetData>
    <row r="1" spans="1:6" x14ac:dyDescent="0.3">
      <c r="A1" s="20" t="s">
        <v>621</v>
      </c>
      <c r="B1" s="20" t="s">
        <v>649</v>
      </c>
    </row>
    <row r="2" spans="1:6" x14ac:dyDescent="0.3">
      <c r="A2" s="23">
        <f>'Engagement Summary'!I2</f>
        <v>3.0521488935595868E-3</v>
      </c>
      <c r="B2">
        <f>'Engagement Summary'!J2</f>
        <v>1047</v>
      </c>
    </row>
    <row r="3" spans="1:6" x14ac:dyDescent="0.3">
      <c r="A3" s="23">
        <f>'Engagement Summary'!I3</f>
        <v>2.4056467876692595E-2</v>
      </c>
      <c r="B3">
        <f>'Engagement Summary'!J3</f>
        <v>1002</v>
      </c>
      <c r="E3" s="47" t="s">
        <v>651</v>
      </c>
      <c r="F3" s="47" t="s">
        <v>650</v>
      </c>
    </row>
    <row r="4" spans="1:6" x14ac:dyDescent="0.3">
      <c r="A4" s="23">
        <f>'Engagement Summary'!I4</f>
        <v>2.8343316099686518E-3</v>
      </c>
      <c r="B4">
        <f>'Engagement Summary'!J4</f>
        <v>415</v>
      </c>
      <c r="E4" s="48">
        <f>MAX(B2:B201)</f>
        <v>1881</v>
      </c>
      <c r="F4" s="48" t="str">
        <f>INDEX('Engagement Summary'!A2:A201,MATCH(MAX(Sheet7!B2:B201),Sheet7!B2:B201,))</f>
        <v>2025-05-05</v>
      </c>
    </row>
    <row r="5" spans="1:6" x14ac:dyDescent="0.3">
      <c r="A5" s="23">
        <f>'Engagement Summary'!I5</f>
        <v>2.7633693838953876E-3</v>
      </c>
      <c r="B5">
        <f>'Engagement Summary'!J5</f>
        <v>1090</v>
      </c>
    </row>
    <row r="6" spans="1:6" x14ac:dyDescent="0.3">
      <c r="A6" s="23">
        <f>'Engagement Summary'!I6</f>
        <v>1.0629111842105262E-2</v>
      </c>
      <c r="B6">
        <f>'Engagement Summary'!J6</f>
        <v>517</v>
      </c>
    </row>
    <row r="7" spans="1:6" x14ac:dyDescent="0.3">
      <c r="A7" s="23">
        <f>'Engagement Summary'!I7</f>
        <v>4.06950189043112E-3</v>
      </c>
      <c r="B7">
        <f>'Engagement Summary'!J7</f>
        <v>1283</v>
      </c>
    </row>
    <row r="8" spans="1:6" x14ac:dyDescent="0.3">
      <c r="A8" s="23">
        <f>'Engagement Summary'!I8</f>
        <v>7.3181959466637287E-4</v>
      </c>
      <c r="B8">
        <f>'Engagement Summary'!J8</f>
        <v>186</v>
      </c>
      <c r="E8" s="47" t="s">
        <v>652</v>
      </c>
    </row>
    <row r="9" spans="1:6" x14ac:dyDescent="0.3">
      <c r="A9" s="23">
        <f>'Engagement Summary'!I9</f>
        <v>2.4074558471628834E-3</v>
      </c>
      <c r="B9">
        <f>'Engagement Summary'!J9</f>
        <v>994</v>
      </c>
      <c r="E9" s="48" t="str">
        <f>INDEX('Engagement Summary'!B2:B201,MATCH(MAX(Sheet7!B2:B201),Sheet7!B2:B201,))</f>
        <v>Instagram</v>
      </c>
    </row>
    <row r="10" spans="1:6" x14ac:dyDescent="0.3">
      <c r="A10" s="23">
        <f>'Engagement Summary'!I10</f>
        <v>1.9581057464812205E-3</v>
      </c>
      <c r="B10">
        <f>'Engagement Summary'!J10</f>
        <v>893</v>
      </c>
    </row>
    <row r="11" spans="1:6" x14ac:dyDescent="0.3">
      <c r="A11" s="23">
        <f>'Engagement Summary'!I11</f>
        <v>8.2206122036237311E-3</v>
      </c>
      <c r="B11">
        <f>'Engagement Summary'!J11</f>
        <v>1382</v>
      </c>
    </row>
    <row r="12" spans="1:6" x14ac:dyDescent="0.3">
      <c r="A12" s="23">
        <f>'Engagement Summary'!I12</f>
        <v>1.0663965677676491E-2</v>
      </c>
      <c r="B12">
        <f>'Engagement Summary'!J12</f>
        <v>1295</v>
      </c>
    </row>
    <row r="13" spans="1:6" x14ac:dyDescent="0.3">
      <c r="A13" s="23">
        <f>'Engagement Summary'!I13</f>
        <v>8.810135053880381E-4</v>
      </c>
      <c r="B13">
        <f>'Engagement Summary'!J13</f>
        <v>337</v>
      </c>
    </row>
    <row r="14" spans="1:6" x14ac:dyDescent="0.3">
      <c r="A14" s="23">
        <f>'Engagement Summary'!I14</f>
        <v>1.7953475096332241E-2</v>
      </c>
      <c r="B14">
        <f>'Engagement Summary'!J14</f>
        <v>629</v>
      </c>
    </row>
    <row r="15" spans="1:6" x14ac:dyDescent="0.3">
      <c r="A15" s="23">
        <f>'Engagement Summary'!I15</f>
        <v>6.7817258883248729E-2</v>
      </c>
      <c r="B15">
        <f>'Engagement Summary'!J15</f>
        <v>1670</v>
      </c>
    </row>
    <row r="16" spans="1:6" x14ac:dyDescent="0.3">
      <c r="A16" s="23">
        <f>'Engagement Summary'!I16</f>
        <v>2.8059115684205575E-3</v>
      </c>
      <c r="B16">
        <f>'Engagement Summary'!J16</f>
        <v>835</v>
      </c>
    </row>
    <row r="17" spans="1:2" x14ac:dyDescent="0.3">
      <c r="A17" s="23">
        <f>'Engagement Summary'!I17</f>
        <v>-2.8852446710938363E-4</v>
      </c>
      <c r="B17">
        <f>'Engagement Summary'!J17</f>
        <v>-123</v>
      </c>
    </row>
    <row r="18" spans="1:2" x14ac:dyDescent="0.3">
      <c r="A18" s="23">
        <f>'Engagement Summary'!I18</f>
        <v>-5.2184356130827853E-4</v>
      </c>
      <c r="B18">
        <f>'Engagement Summary'!J18</f>
        <v>-219</v>
      </c>
    </row>
    <row r="19" spans="1:2" x14ac:dyDescent="0.3">
      <c r="A19" s="23">
        <f>'Engagement Summary'!I19</f>
        <v>2.9096728436596409E-4</v>
      </c>
      <c r="B19">
        <f>'Engagement Summary'!J19</f>
        <v>64</v>
      </c>
    </row>
    <row r="20" spans="1:2" x14ac:dyDescent="0.3">
      <c r="A20" s="23">
        <f>'Engagement Summary'!I20</f>
        <v>4.3223718577598842E-3</v>
      </c>
      <c r="B20">
        <f>'Engagement Summary'!J20</f>
        <v>1357</v>
      </c>
    </row>
    <row r="21" spans="1:2" x14ac:dyDescent="0.3">
      <c r="A21" s="23">
        <f>'Engagement Summary'!I21</f>
        <v>8.0114801869932302E-4</v>
      </c>
      <c r="B21">
        <f>'Engagement Summary'!J21</f>
        <v>91</v>
      </c>
    </row>
    <row r="22" spans="1:2" x14ac:dyDescent="0.3">
      <c r="A22" s="23">
        <f>'Engagement Summary'!I22</f>
        <v>2.9566232250534917E-2</v>
      </c>
      <c r="B22">
        <f>'Engagement Summary'!J22</f>
        <v>1672</v>
      </c>
    </row>
    <row r="23" spans="1:2" x14ac:dyDescent="0.3">
      <c r="A23" s="23">
        <f>'Engagement Summary'!I23</f>
        <v>1.2291902858165761E-3</v>
      </c>
      <c r="B23">
        <f>'Engagement Summary'!J23</f>
        <v>309</v>
      </c>
    </row>
    <row r="24" spans="1:2" x14ac:dyDescent="0.3">
      <c r="A24" s="23">
        <f>'Engagement Summary'!I24</f>
        <v>1.4052196073091972E-3</v>
      </c>
      <c r="B24">
        <f>'Engagement Summary'!J24</f>
        <v>547</v>
      </c>
    </row>
    <row r="25" spans="1:2" x14ac:dyDescent="0.3">
      <c r="A25" s="23">
        <f>'Engagement Summary'!I25</f>
        <v>2.2043056865940474E-3</v>
      </c>
      <c r="B25">
        <f>'Engagement Summary'!J25</f>
        <v>514</v>
      </c>
    </row>
    <row r="26" spans="1:2" x14ac:dyDescent="0.3">
      <c r="A26" s="23">
        <f>'Engagement Summary'!I26</f>
        <v>1.2112339486883223E-2</v>
      </c>
      <c r="B26">
        <f>'Engagement Summary'!J26</f>
        <v>1845</v>
      </c>
    </row>
    <row r="27" spans="1:2" x14ac:dyDescent="0.3">
      <c r="A27" s="23">
        <f>'Engagement Summary'!I27</f>
        <v>-4.8985931479434872E-4</v>
      </c>
      <c r="B27">
        <f>'Engagement Summary'!J27</f>
        <v>-164</v>
      </c>
    </row>
    <row r="28" spans="1:2" x14ac:dyDescent="0.3">
      <c r="A28" s="23">
        <f>'Engagement Summary'!I28</f>
        <v>1.9018233565187323E-3</v>
      </c>
      <c r="B28">
        <f>'Engagement Summary'!J28</f>
        <v>429</v>
      </c>
    </row>
    <row r="29" spans="1:2" x14ac:dyDescent="0.3">
      <c r="A29" s="23">
        <f>'Engagement Summary'!I29</f>
        <v>1.0222139877206545E-3</v>
      </c>
      <c r="B29">
        <f>'Engagement Summary'!J29</f>
        <v>160</v>
      </c>
    </row>
    <row r="30" spans="1:2" x14ac:dyDescent="0.3">
      <c r="A30" s="23">
        <f>'Engagement Summary'!I30</f>
        <v>3.3568878482771145E-4</v>
      </c>
      <c r="B30">
        <f>'Engagement Summary'!J30</f>
        <v>159</v>
      </c>
    </row>
    <row r="31" spans="1:2" x14ac:dyDescent="0.3">
      <c r="A31" s="23">
        <f>'Engagement Summary'!I31</f>
        <v>3.2679182918410859E-3</v>
      </c>
      <c r="B31">
        <f>'Engagement Summary'!J31</f>
        <v>961</v>
      </c>
    </row>
    <row r="32" spans="1:2" x14ac:dyDescent="0.3">
      <c r="A32" s="23">
        <f>'Engagement Summary'!I32</f>
        <v>6.6814918613742752E-3</v>
      </c>
      <c r="B32">
        <f>'Engagement Summary'!J32</f>
        <v>1316</v>
      </c>
    </row>
    <row r="33" spans="1:2" x14ac:dyDescent="0.3">
      <c r="A33" s="23">
        <f>'Engagement Summary'!I33</f>
        <v>1.0351121806907496E-3</v>
      </c>
      <c r="B33">
        <f>'Engagement Summary'!J33</f>
        <v>317</v>
      </c>
    </row>
    <row r="34" spans="1:2" x14ac:dyDescent="0.3">
      <c r="A34" s="23">
        <f>'Engagement Summary'!I34</f>
        <v>2.3396618085888509E-2</v>
      </c>
      <c r="B34">
        <f>'Engagement Summary'!J34</f>
        <v>541</v>
      </c>
    </row>
    <row r="35" spans="1:2" x14ac:dyDescent="0.3">
      <c r="A35" s="23">
        <f>'Engagement Summary'!I35</f>
        <v>-7.3044341130855037E-4</v>
      </c>
      <c r="B35">
        <f>'Engagement Summary'!J35</f>
        <v>-318</v>
      </c>
    </row>
    <row r="36" spans="1:2" x14ac:dyDescent="0.3">
      <c r="A36" s="23">
        <f>'Engagement Summary'!I36</f>
        <v>5.2258292289891952E-3</v>
      </c>
      <c r="B36">
        <f>'Engagement Summary'!J36</f>
        <v>1495</v>
      </c>
    </row>
    <row r="37" spans="1:2" x14ac:dyDescent="0.3">
      <c r="A37" s="23">
        <f>'Engagement Summary'!I37</f>
        <v>7.6583258093641171E-3</v>
      </c>
      <c r="B37">
        <f>'Engagement Summary'!J37</f>
        <v>475</v>
      </c>
    </row>
    <row r="38" spans="1:2" x14ac:dyDescent="0.3">
      <c r="A38" s="23">
        <f>'Engagement Summary'!I38</f>
        <v>8.0435815875105118E-4</v>
      </c>
      <c r="B38">
        <f>'Engagement Summary'!J38</f>
        <v>352</v>
      </c>
    </row>
    <row r="39" spans="1:2" x14ac:dyDescent="0.3">
      <c r="A39" s="23">
        <f>'Engagement Summary'!I39</f>
        <v>-1.573092924275938E-3</v>
      </c>
      <c r="B39">
        <f>'Engagement Summary'!J39</f>
        <v>-197</v>
      </c>
    </row>
    <row r="40" spans="1:2" x14ac:dyDescent="0.3">
      <c r="A40" s="23">
        <f>'Engagement Summary'!I40</f>
        <v>7.294302882583962E-4</v>
      </c>
      <c r="B40">
        <f>'Engagement Summary'!J40</f>
        <v>328</v>
      </c>
    </row>
    <row r="41" spans="1:2" x14ac:dyDescent="0.3">
      <c r="A41" s="23">
        <f>'Engagement Summary'!I41</f>
        <v>9.9584492290786717E-4</v>
      </c>
      <c r="B41">
        <f>'Engagement Summary'!J41</f>
        <v>319</v>
      </c>
    </row>
    <row r="42" spans="1:2" x14ac:dyDescent="0.3">
      <c r="A42" s="23">
        <f>'Engagement Summary'!I42</f>
        <v>2.7159263973697534E-3</v>
      </c>
      <c r="B42">
        <f>'Engagement Summary'!J42</f>
        <v>1325</v>
      </c>
    </row>
    <row r="43" spans="1:2" x14ac:dyDescent="0.3">
      <c r="A43" s="23">
        <f>'Engagement Summary'!I43</f>
        <v>4.3555201483619459E-3</v>
      </c>
      <c r="B43">
        <f>'Engagement Summary'!J43</f>
        <v>1334</v>
      </c>
    </row>
    <row r="44" spans="1:2" x14ac:dyDescent="0.3">
      <c r="A44" s="23">
        <f>'Engagement Summary'!I44</f>
        <v>8.5087594228761446E-5</v>
      </c>
      <c r="B44">
        <f>'Engagement Summary'!J44</f>
        <v>37</v>
      </c>
    </row>
    <row r="45" spans="1:2" x14ac:dyDescent="0.3">
      <c r="A45" s="23">
        <f>'Engagement Summary'!I45</f>
        <v>1.0216810216810217E-2</v>
      </c>
      <c r="B45">
        <f>'Engagement Summary'!J45</f>
        <v>1032</v>
      </c>
    </row>
    <row r="46" spans="1:2" x14ac:dyDescent="0.3">
      <c r="A46" s="23">
        <f>'Engagement Summary'!I46</f>
        <v>2.3358166752723071E-4</v>
      </c>
      <c r="B46">
        <f>'Engagement Summary'!J46</f>
        <v>76</v>
      </c>
    </row>
    <row r="47" spans="1:2" x14ac:dyDescent="0.3">
      <c r="A47" s="23">
        <f>'Engagement Summary'!I47</f>
        <v>5.7856572572266033E-3</v>
      </c>
      <c r="B47">
        <f>'Engagement Summary'!J47</f>
        <v>1058</v>
      </c>
    </row>
    <row r="48" spans="1:2" x14ac:dyDescent="0.3">
      <c r="A48" s="23">
        <f>'Engagement Summary'!I48</f>
        <v>8.9042194769773791E-3</v>
      </c>
      <c r="B48">
        <f>'Engagement Summary'!J48</f>
        <v>1665</v>
      </c>
    </row>
    <row r="49" spans="1:2" x14ac:dyDescent="0.3">
      <c r="A49" s="23">
        <f>'Engagement Summary'!I49</f>
        <v>2.1775755561413363E-3</v>
      </c>
      <c r="B49">
        <f>'Engagement Summary'!J49</f>
        <v>190</v>
      </c>
    </row>
    <row r="50" spans="1:2" x14ac:dyDescent="0.3">
      <c r="A50" s="23">
        <f>'Engagement Summary'!I50</f>
        <v>3.5582387934275416E-3</v>
      </c>
      <c r="B50">
        <f>'Engagement Summary'!J50</f>
        <v>1609</v>
      </c>
    </row>
    <row r="51" spans="1:2" x14ac:dyDescent="0.3">
      <c r="A51" s="23">
        <f>'Engagement Summary'!I51</f>
        <v>9.7537057491505044E-5</v>
      </c>
      <c r="B51">
        <f>'Engagement Summary'!J51</f>
        <v>37</v>
      </c>
    </row>
    <row r="52" spans="1:2" x14ac:dyDescent="0.3">
      <c r="A52" s="23">
        <f>'Engagement Summary'!I52</f>
        <v>6.6351734377108921E-3</v>
      </c>
      <c r="B52">
        <f>'Engagement Summary'!J52</f>
        <v>1229</v>
      </c>
    </row>
    <row r="53" spans="1:2" x14ac:dyDescent="0.3">
      <c r="A53" s="23">
        <f>'Engagement Summary'!I53</f>
        <v>1.1714696924055294E-4</v>
      </c>
      <c r="B53">
        <f>'Engagement Summary'!J53</f>
        <v>28</v>
      </c>
    </row>
    <row r="54" spans="1:2" x14ac:dyDescent="0.3">
      <c r="A54" s="23">
        <f>'Engagement Summary'!I54</f>
        <v>1.2459409501923365E-2</v>
      </c>
      <c r="B54">
        <f>'Engagement Summary'!J54</f>
        <v>1247</v>
      </c>
    </row>
    <row r="55" spans="1:2" x14ac:dyDescent="0.3">
      <c r="A55" s="23">
        <f>'Engagement Summary'!I55</f>
        <v>2.1071224772501347E-3</v>
      </c>
      <c r="B55">
        <f>'Engagement Summary'!J55</f>
        <v>1045</v>
      </c>
    </row>
    <row r="56" spans="1:2" x14ac:dyDescent="0.3">
      <c r="A56" s="23">
        <f>'Engagement Summary'!I56</f>
        <v>6.1836513048445924E-4</v>
      </c>
      <c r="B56">
        <f>'Engagement Summary'!J56</f>
        <v>197</v>
      </c>
    </row>
    <row r="57" spans="1:2" x14ac:dyDescent="0.3">
      <c r="A57" s="23">
        <f>'Engagement Summary'!I57</f>
        <v>8.9845077946675727E-4</v>
      </c>
      <c r="B57">
        <f>'Engagement Summary'!J57</f>
        <v>333</v>
      </c>
    </row>
    <row r="58" spans="1:2" x14ac:dyDescent="0.3">
      <c r="A58" s="23">
        <f>'Engagement Summary'!I58</f>
        <v>4.1754984302038341E-3</v>
      </c>
      <c r="B58">
        <f>'Engagement Summary'!J58</f>
        <v>1572</v>
      </c>
    </row>
    <row r="59" spans="1:2" x14ac:dyDescent="0.3">
      <c r="A59" s="23">
        <f>'Engagement Summary'!I59</f>
        <v>4.6652030735455539E-3</v>
      </c>
      <c r="B59">
        <f>'Engagement Summary'!J59</f>
        <v>1428</v>
      </c>
    </row>
    <row r="60" spans="1:2" x14ac:dyDescent="0.3">
      <c r="A60" s="23">
        <f>'Engagement Summary'!I60</f>
        <v>5.9937250309483687E-4</v>
      </c>
      <c r="B60">
        <f>'Engagement Summary'!J60</f>
        <v>260</v>
      </c>
    </row>
    <row r="61" spans="1:2" x14ac:dyDescent="0.3">
      <c r="A61" s="23">
        <f>'Engagement Summary'!I61</f>
        <v>1.7327473496841675E-2</v>
      </c>
      <c r="B61">
        <f>'Engagement Summary'!J61</f>
        <v>1100</v>
      </c>
    </row>
    <row r="62" spans="1:2" x14ac:dyDescent="0.3">
      <c r="A62" s="23">
        <f>'Engagement Summary'!I62</f>
        <v>7.4777848302126308E-3</v>
      </c>
      <c r="B62">
        <f>'Engagement Summary'!J62</f>
        <v>377</v>
      </c>
    </row>
    <row r="63" spans="1:2" x14ac:dyDescent="0.3">
      <c r="A63" s="23">
        <f>'Engagement Summary'!I63</f>
        <v>2.0672314286678591E-4</v>
      </c>
      <c r="B63">
        <f>'Engagement Summary'!J63</f>
        <v>98</v>
      </c>
    </row>
    <row r="64" spans="1:2" x14ac:dyDescent="0.3">
      <c r="A64" s="23">
        <f>'Engagement Summary'!I64</f>
        <v>2.8755463538072232E-3</v>
      </c>
      <c r="B64">
        <f>'Engagement Summary'!J64</f>
        <v>1125</v>
      </c>
    </row>
    <row r="65" spans="1:2" x14ac:dyDescent="0.3">
      <c r="A65" s="23">
        <f>'Engagement Summary'!I65</f>
        <v>-2.6674224363569678E-4</v>
      </c>
      <c r="B65">
        <f>'Engagement Summary'!J65</f>
        <v>-32</v>
      </c>
    </row>
    <row r="66" spans="1:2" x14ac:dyDescent="0.3">
      <c r="A66" s="23">
        <f>'Engagement Summary'!I66</f>
        <v>1.5783523991667436E-3</v>
      </c>
      <c r="B66">
        <f>'Engagement Summary'!J66</f>
        <v>666</v>
      </c>
    </row>
    <row r="67" spans="1:2" x14ac:dyDescent="0.3">
      <c r="A67" s="23">
        <f>'Engagement Summary'!I67</f>
        <v>-7.9241946515856736E-5</v>
      </c>
      <c r="B67">
        <f>'Engagement Summary'!J67</f>
        <v>-19</v>
      </c>
    </row>
    <row r="68" spans="1:2" x14ac:dyDescent="0.3">
      <c r="A68" s="23">
        <f>'Engagement Summary'!I68</f>
        <v>6.2960020387054219E-3</v>
      </c>
      <c r="B68">
        <f>'Engagement Summary'!J68</f>
        <v>1680</v>
      </c>
    </row>
    <row r="69" spans="1:2" x14ac:dyDescent="0.3">
      <c r="A69" s="23">
        <f>'Engagement Summary'!I69</f>
        <v>1.6181177719515528E-2</v>
      </c>
      <c r="B69">
        <f>'Engagement Summary'!J69</f>
        <v>1006</v>
      </c>
    </row>
    <row r="70" spans="1:2" x14ac:dyDescent="0.3">
      <c r="A70" s="23">
        <f>'Engagement Summary'!I70</f>
        <v>2.7759421954046647E-3</v>
      </c>
      <c r="B70">
        <f>'Engagement Summary'!J70</f>
        <v>1025</v>
      </c>
    </row>
    <row r="71" spans="1:2" x14ac:dyDescent="0.3">
      <c r="A71" s="23">
        <f>'Engagement Summary'!I71</f>
        <v>-3.9461907134448259E-4</v>
      </c>
      <c r="B71">
        <f>'Engagement Summary'!J71</f>
        <v>-179</v>
      </c>
    </row>
    <row r="72" spans="1:2" x14ac:dyDescent="0.3">
      <c r="A72" s="23">
        <f>'Engagement Summary'!I72</f>
        <v>9.3146935792370964E-3</v>
      </c>
      <c r="B72">
        <f>'Engagement Summary'!J72</f>
        <v>599</v>
      </c>
    </row>
    <row r="73" spans="1:2" x14ac:dyDescent="0.3">
      <c r="A73" s="23">
        <f>'Engagement Summary'!I73</f>
        <v>1.8412588771126989E-2</v>
      </c>
      <c r="B73">
        <f>'Engagement Summary'!J73</f>
        <v>1706</v>
      </c>
    </row>
    <row r="74" spans="1:2" x14ac:dyDescent="0.3">
      <c r="A74" s="23">
        <f>'Engagement Summary'!I74</f>
        <v>1.0101936744176006E-2</v>
      </c>
      <c r="B74">
        <f>'Engagement Summary'!J74</f>
        <v>1872</v>
      </c>
    </row>
    <row r="75" spans="1:2" x14ac:dyDescent="0.3">
      <c r="A75" s="23">
        <f>'Engagement Summary'!I75</f>
        <v>4.400306062202642E-3</v>
      </c>
      <c r="B75">
        <f>'Engagement Summary'!J75</f>
        <v>1662</v>
      </c>
    </row>
    <row r="76" spans="1:2" x14ac:dyDescent="0.3">
      <c r="A76" s="23">
        <f>'Engagement Summary'!I76</f>
        <v>2.2461107647482362E-4</v>
      </c>
      <c r="B76">
        <f>'Engagement Summary'!J76</f>
        <v>107</v>
      </c>
    </row>
    <row r="77" spans="1:2" x14ac:dyDescent="0.3">
      <c r="A77" s="23">
        <f>'Engagement Summary'!I77</f>
        <v>1.0029834507730621E-3</v>
      </c>
      <c r="B77">
        <f>'Engagement Summary'!J77</f>
        <v>118</v>
      </c>
    </row>
    <row r="78" spans="1:2" x14ac:dyDescent="0.3">
      <c r="A78" s="23">
        <f>'Engagement Summary'!I78</f>
        <v>3.1600878834898319E-3</v>
      </c>
      <c r="B78">
        <f>'Engagement Summary'!J78</f>
        <v>1224</v>
      </c>
    </row>
    <row r="79" spans="1:2" x14ac:dyDescent="0.3">
      <c r="A79" s="23">
        <f>'Engagement Summary'!I79</f>
        <v>1.8116632976086045E-3</v>
      </c>
      <c r="B79">
        <f>'Engagement Summary'!J79</f>
        <v>285</v>
      </c>
    </row>
    <row r="80" spans="1:2" x14ac:dyDescent="0.3">
      <c r="A80" s="23">
        <f>'Engagement Summary'!I80</f>
        <v>-6.45594463381882E-5</v>
      </c>
      <c r="B80">
        <f>'Engagement Summary'!J80</f>
        <v>-20</v>
      </c>
    </row>
    <row r="81" spans="1:2" x14ac:dyDescent="0.3">
      <c r="A81" s="23">
        <f>'Engagement Summary'!I81</f>
        <v>1.8459743173164463E-3</v>
      </c>
      <c r="B81">
        <f>'Engagement Summary'!J81</f>
        <v>367</v>
      </c>
    </row>
    <row r="82" spans="1:2" x14ac:dyDescent="0.3">
      <c r="A82" s="23">
        <f>'Engagement Summary'!I82</f>
        <v>7.3424937014295445E-4</v>
      </c>
      <c r="B82">
        <f>'Engagement Summary'!J82</f>
        <v>262</v>
      </c>
    </row>
    <row r="83" spans="1:2" x14ac:dyDescent="0.3">
      <c r="A83" s="23">
        <f>'Engagement Summary'!I83</f>
        <v>1.904307465405804E-2</v>
      </c>
      <c r="B83">
        <f>'Engagement Summary'!J83</f>
        <v>439</v>
      </c>
    </row>
    <row r="84" spans="1:2" x14ac:dyDescent="0.3">
      <c r="A84" s="23">
        <f>'Engagement Summary'!I84</f>
        <v>2.4684553912074862E-3</v>
      </c>
      <c r="B84">
        <f>'Engagement Summary'!J84</f>
        <v>636</v>
      </c>
    </row>
    <row r="85" spans="1:2" x14ac:dyDescent="0.3">
      <c r="A85" s="23">
        <f>'Engagement Summary'!I85</f>
        <v>5.8099018893926222E-3</v>
      </c>
      <c r="B85">
        <f>'Engagement Summary'!J85</f>
        <v>1484</v>
      </c>
    </row>
    <row r="86" spans="1:2" x14ac:dyDescent="0.3">
      <c r="A86" s="23">
        <f>'Engagement Summary'!I86</f>
        <v>1.6649997398437907E-3</v>
      </c>
      <c r="B86">
        <f>'Engagement Summary'!J86</f>
        <v>576</v>
      </c>
    </row>
    <row r="87" spans="1:2" x14ac:dyDescent="0.3">
      <c r="A87" s="23">
        <f>'Engagement Summary'!I87</f>
        <v>1.8415942672029236E-3</v>
      </c>
      <c r="B87">
        <f>'Engagement Summary'!J87</f>
        <v>386</v>
      </c>
    </row>
    <row r="88" spans="1:2" x14ac:dyDescent="0.3">
      <c r="A88" s="23">
        <f>'Engagement Summary'!I88</f>
        <v>1.538378382873275E-4</v>
      </c>
      <c r="B88">
        <f>'Engagement Summary'!J88</f>
        <v>37</v>
      </c>
    </row>
    <row r="89" spans="1:2" x14ac:dyDescent="0.3">
      <c r="A89" s="23">
        <f>'Engagement Summary'!I89</f>
        <v>5.4476115330242955E-3</v>
      </c>
      <c r="B89">
        <f>'Engagement Summary'!J89</f>
        <v>1657</v>
      </c>
    </row>
    <row r="90" spans="1:2" x14ac:dyDescent="0.3">
      <c r="A90" s="23">
        <f>'Engagement Summary'!I90</f>
        <v>2.609361574956106E-2</v>
      </c>
      <c r="B90">
        <f>'Engagement Summary'!J90</f>
        <v>1397</v>
      </c>
    </row>
    <row r="91" spans="1:2" x14ac:dyDescent="0.3">
      <c r="A91" s="23">
        <f>'Engagement Summary'!I91</f>
        <v>1.6946705748699183E-3</v>
      </c>
      <c r="B91">
        <f>'Engagement Summary'!J91</f>
        <v>540</v>
      </c>
    </row>
    <row r="92" spans="1:2" x14ac:dyDescent="0.3">
      <c r="A92" s="23">
        <f>'Engagement Summary'!I92</f>
        <v>3.6641926318412166E-3</v>
      </c>
      <c r="B92">
        <f>'Engagement Summary'!J92</f>
        <v>1603</v>
      </c>
    </row>
    <row r="93" spans="1:2" x14ac:dyDescent="0.3">
      <c r="A93" s="23">
        <f>'Engagement Summary'!I93</f>
        <v>4.0480806514152775E-3</v>
      </c>
      <c r="B93">
        <f>'Engagement Summary'!J93</f>
        <v>1044</v>
      </c>
    </row>
    <row r="94" spans="1:2" x14ac:dyDescent="0.3">
      <c r="A94" s="23">
        <f>'Engagement Summary'!I94</f>
        <v>1.7863862317548967E-2</v>
      </c>
      <c r="B94">
        <f>'Engagement Summary'!J94</f>
        <v>902</v>
      </c>
    </row>
    <row r="95" spans="1:2" x14ac:dyDescent="0.3">
      <c r="A95" s="23">
        <f>'Engagement Summary'!I95</f>
        <v>-3.4238942598089728E-4</v>
      </c>
      <c r="B95">
        <f>'Engagement Summary'!J95</f>
        <v>-106</v>
      </c>
    </row>
    <row r="96" spans="1:2" x14ac:dyDescent="0.3">
      <c r="A96" s="23">
        <f>'Engagement Summary'!I96</f>
        <v>1.3348035517381463E-2</v>
      </c>
      <c r="B96">
        <f>'Engagement Summary'!J96</f>
        <v>1150</v>
      </c>
    </row>
    <row r="97" spans="1:2" x14ac:dyDescent="0.3">
      <c r="A97" s="23">
        <f>'Engagement Summary'!I97</f>
        <v>2.8904606516373756E-3</v>
      </c>
      <c r="B97">
        <f>'Engagement Summary'!J97</f>
        <v>349</v>
      </c>
    </row>
    <row r="98" spans="1:2" x14ac:dyDescent="0.3">
      <c r="A98" s="23">
        <f>'Engagement Summary'!I98</f>
        <v>-9.5822903629536917E-4</v>
      </c>
      <c r="B98">
        <f>'Engagement Summary'!J98</f>
        <v>-49</v>
      </c>
    </row>
    <row r="99" spans="1:2" x14ac:dyDescent="0.3">
      <c r="A99" s="23">
        <f>'Engagement Summary'!I99</f>
        <v>2.1253044055789241E-4</v>
      </c>
      <c r="B99">
        <f>'Engagement Summary'!J99</f>
        <v>72</v>
      </c>
    </row>
    <row r="100" spans="1:2" x14ac:dyDescent="0.3">
      <c r="A100" s="23">
        <f>'Engagement Summary'!I100</f>
        <v>9.1361137230587303E-4</v>
      </c>
      <c r="B100">
        <f>'Engagement Summary'!J100</f>
        <v>445</v>
      </c>
    </row>
    <row r="101" spans="1:2" x14ac:dyDescent="0.3">
      <c r="A101" s="23">
        <f>'Engagement Summary'!I101</f>
        <v>1.9891590829976627E-4</v>
      </c>
      <c r="B101">
        <f>'Engagement Summary'!J101</f>
        <v>60</v>
      </c>
    </row>
    <row r="102" spans="1:2" x14ac:dyDescent="0.3">
      <c r="A102" s="23">
        <f>'Engagement Summary'!I102</f>
        <v>6.0297820659393885E-3</v>
      </c>
      <c r="B102">
        <f>'Engagement Summary'!J102</f>
        <v>1693</v>
      </c>
    </row>
    <row r="103" spans="1:2" x14ac:dyDescent="0.3">
      <c r="A103" s="23">
        <f>'Engagement Summary'!I103</f>
        <v>3.9722183288650849E-3</v>
      </c>
      <c r="B103">
        <f>'Engagement Summary'!J103</f>
        <v>1332</v>
      </c>
    </row>
    <row r="104" spans="1:2" x14ac:dyDescent="0.3">
      <c r="A104" s="23">
        <f>'Engagement Summary'!I104</f>
        <v>1.1091367973109091E-3</v>
      </c>
      <c r="B104">
        <f>'Engagement Summary'!J104</f>
        <v>98</v>
      </c>
    </row>
    <row r="105" spans="1:2" x14ac:dyDescent="0.3">
      <c r="A105" s="23">
        <f>'Engagement Summary'!I105</f>
        <v>1.4355231143552312E-2</v>
      </c>
      <c r="B105">
        <f>'Engagement Summary'!J105</f>
        <v>885</v>
      </c>
    </row>
    <row r="106" spans="1:2" x14ac:dyDescent="0.3">
      <c r="A106" s="23">
        <f>'Engagement Summary'!I106</f>
        <v>3.8659916446999038E-3</v>
      </c>
      <c r="B106">
        <f>'Engagement Summary'!J106</f>
        <v>1625</v>
      </c>
    </row>
    <row r="107" spans="1:2" x14ac:dyDescent="0.3">
      <c r="A107" s="23">
        <f>'Engagement Summary'!I107</f>
        <v>3.6409191506798447E-3</v>
      </c>
      <c r="B107">
        <f>'Engagement Summary'!J107</f>
        <v>1706</v>
      </c>
    </row>
    <row r="108" spans="1:2" x14ac:dyDescent="0.3">
      <c r="A108" s="23">
        <f>'Engagement Summary'!I108</f>
        <v>3.7994240941142936E-3</v>
      </c>
      <c r="B108">
        <f>'Engagement Summary'!J108</f>
        <v>1173</v>
      </c>
    </row>
    <row r="109" spans="1:2" x14ac:dyDescent="0.3">
      <c r="A109" s="23">
        <f>'Engagement Summary'!I109</f>
        <v>1.3168433770923554E-3</v>
      </c>
      <c r="B109">
        <f>'Engagement Summary'!J109</f>
        <v>291</v>
      </c>
    </row>
    <row r="110" spans="1:2" x14ac:dyDescent="0.3">
      <c r="A110" s="23">
        <f>'Engagement Summary'!I110</f>
        <v>5.0980195629097436E-3</v>
      </c>
      <c r="B110">
        <f>'Engagement Summary'!J110</f>
        <v>1119</v>
      </c>
    </row>
    <row r="111" spans="1:2" x14ac:dyDescent="0.3">
      <c r="A111" s="23">
        <f>'Engagement Summary'!I111</f>
        <v>3.9832893324436451E-2</v>
      </c>
      <c r="B111">
        <f>'Engagement Summary'!J111</f>
        <v>1373</v>
      </c>
    </row>
    <row r="112" spans="1:2" x14ac:dyDescent="0.3">
      <c r="A112" s="23">
        <f>'Engagement Summary'!I112</f>
        <v>9.1472457627118642E-2</v>
      </c>
      <c r="B112">
        <f>'Engagement Summary'!J112</f>
        <v>1727</v>
      </c>
    </row>
    <row r="113" spans="1:2" x14ac:dyDescent="0.3">
      <c r="A113" s="23">
        <f>'Engagement Summary'!I113</f>
        <v>1.2696063334079292E-3</v>
      </c>
      <c r="B113">
        <f>'Engagement Summary'!J113</f>
        <v>573</v>
      </c>
    </row>
    <row r="114" spans="1:2" x14ac:dyDescent="0.3">
      <c r="A114" s="23">
        <f>'Engagement Summary'!I114</f>
        <v>3.0854022981076056E-3</v>
      </c>
      <c r="B114">
        <f>'Engagement Summary'!J114</f>
        <v>1432</v>
      </c>
    </row>
    <row r="115" spans="1:2" x14ac:dyDescent="0.3">
      <c r="A115" s="23">
        <f>'Engagement Summary'!I115</f>
        <v>3.3225717718935038E-3</v>
      </c>
      <c r="B115">
        <f>'Engagement Summary'!J115</f>
        <v>1377</v>
      </c>
    </row>
    <row r="116" spans="1:2" x14ac:dyDescent="0.3">
      <c r="A116" s="23">
        <f>'Engagement Summary'!I116</f>
        <v>4.1709634649381259E-3</v>
      </c>
      <c r="B116">
        <f>'Engagement Summary'!J116</f>
        <v>1359</v>
      </c>
    </row>
    <row r="117" spans="1:2" x14ac:dyDescent="0.3">
      <c r="A117" s="23">
        <f>'Engagement Summary'!I117</f>
        <v>1.7949900107576456E-3</v>
      </c>
      <c r="B117">
        <f>'Engagement Summary'!J117</f>
        <v>876</v>
      </c>
    </row>
    <row r="118" spans="1:2" x14ac:dyDescent="0.3">
      <c r="A118" s="23">
        <f>'Engagement Summary'!I118</f>
        <v>2.4418891082463737E-3</v>
      </c>
      <c r="B118">
        <f>'Engagement Summary'!J118</f>
        <v>684</v>
      </c>
    </row>
    <row r="119" spans="1:2" x14ac:dyDescent="0.3">
      <c r="A119" s="23">
        <f>'Engagement Summary'!I119</f>
        <v>7.8819223252750582E-3</v>
      </c>
      <c r="B119">
        <f>'Engagement Summary'!J119</f>
        <v>730</v>
      </c>
    </row>
    <row r="120" spans="1:2" x14ac:dyDescent="0.3">
      <c r="A120" s="23">
        <f>'Engagement Summary'!I120</f>
        <v>1.1357969279872333E-2</v>
      </c>
      <c r="B120">
        <f>'Engagement Summary'!J120</f>
        <v>911</v>
      </c>
    </row>
    <row r="121" spans="1:2" x14ac:dyDescent="0.3">
      <c r="A121" s="23">
        <f>'Engagement Summary'!I121</f>
        <v>6.7364761743259283E-2</v>
      </c>
      <c r="B121">
        <f>'Engagement Summary'!J121</f>
        <v>1589</v>
      </c>
    </row>
    <row r="122" spans="1:2" x14ac:dyDescent="0.3">
      <c r="A122" s="23">
        <f>'Engagement Summary'!I122</f>
        <v>1.2694280022152058E-2</v>
      </c>
      <c r="B122">
        <f>'Engagement Summary'!J122</f>
        <v>1765</v>
      </c>
    </row>
    <row r="123" spans="1:2" x14ac:dyDescent="0.3">
      <c r="A123" s="23">
        <f>'Engagement Summary'!I123</f>
        <v>4.7027048496643764E-3</v>
      </c>
      <c r="B123">
        <f>'Engagement Summary'!J123</f>
        <v>1776</v>
      </c>
    </row>
    <row r="124" spans="1:2" x14ac:dyDescent="0.3">
      <c r="A124" s="23">
        <f>'Engagement Summary'!I124</f>
        <v>5.5945437647730353E-3</v>
      </c>
      <c r="B124">
        <f>'Engagement Summary'!J124</f>
        <v>1529</v>
      </c>
    </row>
    <row r="125" spans="1:2" x14ac:dyDescent="0.3">
      <c r="A125" s="23">
        <f>'Engagement Summary'!I125</f>
        <v>1.0784060272556044E-2</v>
      </c>
      <c r="B125">
        <f>'Engagement Summary'!J125</f>
        <v>1460</v>
      </c>
    </row>
    <row r="126" spans="1:2" x14ac:dyDescent="0.3">
      <c r="A126" s="23">
        <f>'Engagement Summary'!I126</f>
        <v>1.9399371400213544E-3</v>
      </c>
      <c r="B126">
        <f>'Engagement Summary'!J126</f>
        <v>903</v>
      </c>
    </row>
    <row r="127" spans="1:2" x14ac:dyDescent="0.3">
      <c r="A127" s="23">
        <f>'Engagement Summary'!I127</f>
        <v>6.51890482398957E-3</v>
      </c>
      <c r="B127">
        <f>'Engagement Summary'!J127</f>
        <v>620</v>
      </c>
    </row>
    <row r="128" spans="1:2" x14ac:dyDescent="0.3">
      <c r="A128" s="23">
        <f>'Engagement Summary'!I128</f>
        <v>3.2110885265752712E-3</v>
      </c>
      <c r="B128">
        <f>'Engagement Summary'!J128</f>
        <v>1188</v>
      </c>
    </row>
    <row r="129" spans="1:2" x14ac:dyDescent="0.3">
      <c r="A129" s="23">
        <f>'Engagement Summary'!I129</f>
        <v>8.9463220675944331E-3</v>
      </c>
      <c r="B129">
        <f>'Engagement Summary'!J129</f>
        <v>846</v>
      </c>
    </row>
    <row r="130" spans="1:2" x14ac:dyDescent="0.3">
      <c r="A130" s="23">
        <f>'Engagement Summary'!I130</f>
        <v>4.9526734945684533E-3</v>
      </c>
      <c r="B130">
        <f>'Engagement Summary'!J130</f>
        <v>1722</v>
      </c>
    </row>
    <row r="131" spans="1:2" x14ac:dyDescent="0.3">
      <c r="A131" s="23">
        <f>'Engagement Summary'!I131</f>
        <v>1.3279798218368011E-3</v>
      </c>
      <c r="B131">
        <f>'Engagement Summary'!J131</f>
        <v>298</v>
      </c>
    </row>
    <row r="132" spans="1:2" x14ac:dyDescent="0.3">
      <c r="A132" s="23">
        <f>'Engagement Summary'!I132</f>
        <v>-2.9505778214900419E-4</v>
      </c>
      <c r="B132">
        <f>'Engagement Summary'!J132</f>
        <v>-144</v>
      </c>
    </row>
    <row r="133" spans="1:2" x14ac:dyDescent="0.3">
      <c r="A133" s="23">
        <f>'Engagement Summary'!I133</f>
        <v>6.6563238770685582E-2</v>
      </c>
      <c r="B133">
        <f>'Engagement Summary'!J133</f>
        <v>901</v>
      </c>
    </row>
    <row r="134" spans="1:2" x14ac:dyDescent="0.3">
      <c r="A134" s="23">
        <f>'Engagement Summary'!I134</f>
        <v>4.1140093533520543E-3</v>
      </c>
      <c r="B134">
        <f>'Engagement Summary'!J134</f>
        <v>1572</v>
      </c>
    </row>
    <row r="135" spans="1:2" x14ac:dyDescent="0.3">
      <c r="A135" s="23">
        <f>'Engagement Summary'!I135</f>
        <v>8.9132327063455119E-4</v>
      </c>
      <c r="B135">
        <f>'Engagement Summary'!J135</f>
        <v>427</v>
      </c>
    </row>
    <row r="136" spans="1:2" x14ac:dyDescent="0.3">
      <c r="A136" s="23">
        <f>'Engagement Summary'!I136</f>
        <v>7.2138155497801851E-3</v>
      </c>
      <c r="B136">
        <f>'Engagement Summary'!J136</f>
        <v>891</v>
      </c>
    </row>
    <row r="137" spans="1:2" x14ac:dyDescent="0.3">
      <c r="A137" s="23">
        <f>'Engagement Summary'!I137</f>
        <v>2.1533199494386201E-3</v>
      </c>
      <c r="B137">
        <f>'Engagement Summary'!J137</f>
        <v>724</v>
      </c>
    </row>
    <row r="138" spans="1:2" x14ac:dyDescent="0.3">
      <c r="A138" s="23">
        <f>'Engagement Summary'!I138</f>
        <v>-4.6442530166661538E-4</v>
      </c>
      <c r="B138">
        <f>'Engagement Summary'!J138</f>
        <v>-166</v>
      </c>
    </row>
    <row r="139" spans="1:2" x14ac:dyDescent="0.3">
      <c r="A139" s="23">
        <f>'Engagement Summary'!I139</f>
        <v>2.8026678401667868E-3</v>
      </c>
      <c r="B139">
        <f>'Engagement Summary'!J139</f>
        <v>898</v>
      </c>
    </row>
    <row r="140" spans="1:2" x14ac:dyDescent="0.3">
      <c r="A140" s="23">
        <f>'Engagement Summary'!I140</f>
        <v>5.4606097042616498E-3</v>
      </c>
      <c r="B140">
        <f>'Engagement Summary'!J140</f>
        <v>1426</v>
      </c>
    </row>
    <row r="141" spans="1:2" x14ac:dyDescent="0.3">
      <c r="A141" s="23">
        <f>'Engagement Summary'!I141</f>
        <v>2.660475540999557E-3</v>
      </c>
      <c r="B141">
        <f>'Engagement Summary'!J141</f>
        <v>1225</v>
      </c>
    </row>
    <row r="142" spans="1:2" x14ac:dyDescent="0.3">
      <c r="A142" s="23">
        <f>'Engagement Summary'!I142</f>
        <v>3.0815234138714207E-3</v>
      </c>
      <c r="B142">
        <f>'Engagement Summary'!J142</f>
        <v>1080</v>
      </c>
    </row>
    <row r="143" spans="1:2" x14ac:dyDescent="0.3">
      <c r="A143" s="23">
        <f>'Engagement Summary'!I143</f>
        <v>5.5309489126657251E-3</v>
      </c>
      <c r="B143">
        <f>'Engagement Summary'!J143</f>
        <v>748</v>
      </c>
    </row>
    <row r="144" spans="1:2" x14ac:dyDescent="0.3">
      <c r="A144" s="23">
        <f>'Engagement Summary'!I144</f>
        <v>3.2149617199197672E-3</v>
      </c>
      <c r="B144">
        <f>'Engagement Summary'!J144</f>
        <v>569</v>
      </c>
    </row>
    <row r="145" spans="1:2" x14ac:dyDescent="0.3">
      <c r="A145" s="23">
        <f>'Engagement Summary'!I145</f>
        <v>-7.4916318840900623E-4</v>
      </c>
      <c r="B145">
        <f>'Engagement Summary'!J145</f>
        <v>-203</v>
      </c>
    </row>
    <row r="146" spans="1:2" x14ac:dyDescent="0.3">
      <c r="A146" s="23">
        <f>'Engagement Summary'!I146</f>
        <v>7.8174979469426455E-3</v>
      </c>
      <c r="B146">
        <f>'Engagement Summary'!J146</f>
        <v>1723</v>
      </c>
    </row>
    <row r="147" spans="1:2" x14ac:dyDescent="0.3">
      <c r="A147" s="23">
        <f>'Engagement Summary'!I147</f>
        <v>2.951437207526165E-3</v>
      </c>
      <c r="B147">
        <f>'Engagement Summary'!J147</f>
        <v>912</v>
      </c>
    </row>
    <row r="148" spans="1:2" x14ac:dyDescent="0.3">
      <c r="A148" s="23">
        <f>'Engagement Summary'!I148</f>
        <v>9.5868559578880207E-3</v>
      </c>
      <c r="B148">
        <f>'Engagement Summary'!J148</f>
        <v>1202</v>
      </c>
    </row>
    <row r="149" spans="1:2" x14ac:dyDescent="0.3">
      <c r="A149" s="23">
        <f>'Engagement Summary'!I149</f>
        <v>2.9844823452574837E-3</v>
      </c>
      <c r="B149">
        <f>'Engagement Summary'!J149</f>
        <v>1444</v>
      </c>
    </row>
    <row r="150" spans="1:2" x14ac:dyDescent="0.3">
      <c r="A150" s="23">
        <f>'Engagement Summary'!I150</f>
        <v>2.1336434670711376E-3</v>
      </c>
      <c r="B150">
        <f>'Engagement Summary'!J150</f>
        <v>965</v>
      </c>
    </row>
    <row r="151" spans="1:2" x14ac:dyDescent="0.3">
      <c r="A151" s="23">
        <f>'Engagement Summary'!I151</f>
        <v>1.5380597231492498E-2</v>
      </c>
      <c r="B151">
        <f>'Engagement Summary'!J151</f>
        <v>1590</v>
      </c>
    </row>
    <row r="152" spans="1:2" x14ac:dyDescent="0.3">
      <c r="A152" s="23">
        <f>'Engagement Summary'!I152</f>
        <v>-2.5404236328057951E-4</v>
      </c>
      <c r="B152">
        <f>'Engagement Summary'!J152</f>
        <v>-37</v>
      </c>
    </row>
    <row r="153" spans="1:2" x14ac:dyDescent="0.3">
      <c r="A153" s="23">
        <f>'Engagement Summary'!I153</f>
        <v>1.1211297170936501E-2</v>
      </c>
      <c r="B153">
        <f>'Engagement Summary'!J153</f>
        <v>1175</v>
      </c>
    </row>
    <row r="154" spans="1:2" x14ac:dyDescent="0.3">
      <c r="A154" s="23">
        <f>'Engagement Summary'!I154</f>
        <v>1.0986903610895812E-2</v>
      </c>
      <c r="B154">
        <f>'Engagement Summary'!J154</f>
        <v>1375</v>
      </c>
    </row>
    <row r="155" spans="1:2" x14ac:dyDescent="0.3">
      <c r="A155" s="23">
        <f>'Engagement Summary'!I155</f>
        <v>7.4625886920141118E-3</v>
      </c>
      <c r="B155">
        <f>'Engagement Summary'!J155</f>
        <v>1707</v>
      </c>
    </row>
    <row r="156" spans="1:2" x14ac:dyDescent="0.3">
      <c r="A156" s="23">
        <f>'Engagement Summary'!I156</f>
        <v>2.2383883603805262E-3</v>
      </c>
      <c r="B156">
        <f>'Engagement Summary'!J156</f>
        <v>708</v>
      </c>
    </row>
    <row r="157" spans="1:2" x14ac:dyDescent="0.3">
      <c r="A157" s="23">
        <f>'Engagement Summary'!I157</f>
        <v>2.1933280515000334E-3</v>
      </c>
      <c r="B157">
        <f>'Engagement Summary'!J157</f>
        <v>1016</v>
      </c>
    </row>
    <row r="158" spans="1:2" x14ac:dyDescent="0.3">
      <c r="A158" s="23">
        <f>'Engagement Summary'!I158</f>
        <v>5.1314269659413726E-3</v>
      </c>
      <c r="B158">
        <f>'Engagement Summary'!J158</f>
        <v>1315</v>
      </c>
    </row>
    <row r="159" spans="1:2" x14ac:dyDescent="0.3">
      <c r="A159" s="23">
        <f>'Engagement Summary'!I159</f>
        <v>-3.242506811989101E-4</v>
      </c>
      <c r="B159">
        <f>'Engagement Summary'!J159</f>
        <v>-119</v>
      </c>
    </row>
    <row r="160" spans="1:2" x14ac:dyDescent="0.3">
      <c r="A160" s="23">
        <f>'Engagement Summary'!I160</f>
        <v>1.9305268040440133E-3</v>
      </c>
      <c r="B160">
        <f>'Engagement Summary'!J160</f>
        <v>899</v>
      </c>
    </row>
    <row r="161" spans="1:2" x14ac:dyDescent="0.3">
      <c r="A161" s="23">
        <f>'Engagement Summary'!I161</f>
        <v>1.4048764823676851E-3</v>
      </c>
      <c r="B161">
        <f>'Engagement Summary'!J161</f>
        <v>315</v>
      </c>
    </row>
    <row r="162" spans="1:2" x14ac:dyDescent="0.3">
      <c r="A162" s="23">
        <f>'Engagement Summary'!I162</f>
        <v>4.5894399584352609E-4</v>
      </c>
      <c r="B162">
        <f>'Engagement Summary'!J162</f>
        <v>212</v>
      </c>
    </row>
    <row r="163" spans="1:2" x14ac:dyDescent="0.3">
      <c r="A163" s="23">
        <f>'Engagement Summary'!I163</f>
        <v>2.6711067442503544E-3</v>
      </c>
      <c r="B163">
        <f>'Engagement Summary'!J163</f>
        <v>908</v>
      </c>
    </row>
    <row r="164" spans="1:2" x14ac:dyDescent="0.3">
      <c r="A164" s="23">
        <f>'Engagement Summary'!I164</f>
        <v>0.12139196115457243</v>
      </c>
      <c r="B164">
        <f>'Engagement Summary'!J164</f>
        <v>1350</v>
      </c>
    </row>
    <row r="165" spans="1:2" x14ac:dyDescent="0.3">
      <c r="A165" s="23">
        <f>'Engagement Summary'!I165</f>
        <v>1.2783696155627605E-2</v>
      </c>
      <c r="B165">
        <f>'Engagement Summary'!J165</f>
        <v>1242</v>
      </c>
    </row>
    <row r="166" spans="1:2" x14ac:dyDescent="0.3">
      <c r="A166" s="23">
        <f>'Engagement Summary'!I166</f>
        <v>1.6599536189430002E-3</v>
      </c>
      <c r="B166">
        <f>'Engagement Summary'!J166</f>
        <v>680</v>
      </c>
    </row>
    <row r="167" spans="1:2" x14ac:dyDescent="0.3">
      <c r="A167" s="23">
        <f>'Engagement Summary'!I167</f>
        <v>3.2726025107547218E-3</v>
      </c>
      <c r="B167">
        <f>'Engagement Summary'!J167</f>
        <v>1116</v>
      </c>
    </row>
    <row r="168" spans="1:2" x14ac:dyDescent="0.3">
      <c r="A168" s="23">
        <f>'Engagement Summary'!I168</f>
        <v>7.4313827032625582E-2</v>
      </c>
      <c r="B168">
        <f>'Engagement Summary'!J168</f>
        <v>861</v>
      </c>
    </row>
    <row r="169" spans="1:2" x14ac:dyDescent="0.3">
      <c r="A169" s="23">
        <f>'Engagement Summary'!I169</f>
        <v>8.6589559237261637E-2</v>
      </c>
      <c r="B169">
        <f>'Engagement Summary'!J169</f>
        <v>1385</v>
      </c>
    </row>
    <row r="170" spans="1:2" x14ac:dyDescent="0.3">
      <c r="A170" s="23">
        <f>'Engagement Summary'!I170</f>
        <v>1.2652703863603304E-3</v>
      </c>
      <c r="B170">
        <f>'Engagement Summary'!J170</f>
        <v>461</v>
      </c>
    </row>
    <row r="171" spans="1:2" x14ac:dyDescent="0.3">
      <c r="A171" s="23">
        <f>'Engagement Summary'!I171</f>
        <v>1.2703279268462635E-3</v>
      </c>
      <c r="B171">
        <f>'Engagement Summary'!J171</f>
        <v>474</v>
      </c>
    </row>
    <row r="172" spans="1:2" x14ac:dyDescent="0.3">
      <c r="A172" s="23">
        <f>'Engagement Summary'!I172</f>
        <v>1.3852123834191975E-3</v>
      </c>
      <c r="B172">
        <f>'Engagement Summary'!J172</f>
        <v>292</v>
      </c>
    </row>
    <row r="173" spans="1:2" x14ac:dyDescent="0.3">
      <c r="A173" s="23">
        <f>'Engagement Summary'!I173</f>
        <v>8.8100339265573832E-4</v>
      </c>
      <c r="B173">
        <f>'Engagement Summary'!J173</f>
        <v>389</v>
      </c>
    </row>
    <row r="174" spans="1:2" x14ac:dyDescent="0.3">
      <c r="A174" s="23">
        <f>'Engagement Summary'!I174</f>
        <v>2.2719297934705941E-3</v>
      </c>
      <c r="B174">
        <f>'Engagement Summary'!J174</f>
        <v>641</v>
      </c>
    </row>
    <row r="175" spans="1:2" x14ac:dyDescent="0.3">
      <c r="A175" s="23">
        <f>'Engagement Summary'!I175</f>
        <v>1.3908582190520517E-3</v>
      </c>
      <c r="B175">
        <f>'Engagement Summary'!J175</f>
        <v>514</v>
      </c>
    </row>
    <row r="176" spans="1:2" x14ac:dyDescent="0.3">
      <c r="A176" s="23">
        <f>'Engagement Summary'!I176</f>
        <v>8.5217161393981913E-3</v>
      </c>
      <c r="B176">
        <f>'Engagement Summary'!J176</f>
        <v>1676</v>
      </c>
    </row>
    <row r="177" spans="1:2" x14ac:dyDescent="0.3">
      <c r="A177" s="23">
        <f>'Engagement Summary'!I177</f>
        <v>3.3781683281175518E-3</v>
      </c>
      <c r="B177">
        <f>'Engagement Summary'!J177</f>
        <v>1467</v>
      </c>
    </row>
    <row r="178" spans="1:2" x14ac:dyDescent="0.3">
      <c r="A178" s="23">
        <f>'Engagement Summary'!I178</f>
        <v>2.1240874055607844E-3</v>
      </c>
      <c r="B178">
        <f>'Engagement Summary'!J178</f>
        <v>167</v>
      </c>
    </row>
    <row r="179" spans="1:2" x14ac:dyDescent="0.3">
      <c r="A179" s="23">
        <f>'Engagement Summary'!I179</f>
        <v>1.0546598747527339E-2</v>
      </c>
      <c r="B179">
        <f>'Engagement Summary'!J179</f>
        <v>1029</v>
      </c>
    </row>
    <row r="180" spans="1:2" x14ac:dyDescent="0.3">
      <c r="A180" s="23">
        <f>'Engagement Summary'!I180</f>
        <v>3.5231964173255893E-2</v>
      </c>
      <c r="B180">
        <f>'Engagement Summary'!J180</f>
        <v>1007</v>
      </c>
    </row>
    <row r="181" spans="1:2" x14ac:dyDescent="0.3">
      <c r="A181" s="23">
        <f>'Engagement Summary'!I181</f>
        <v>7.2032949042720017E-4</v>
      </c>
      <c r="B181">
        <f>'Engagement Summary'!J181</f>
        <v>209</v>
      </c>
    </row>
    <row r="182" spans="1:2" x14ac:dyDescent="0.3">
      <c r="A182" s="23">
        <f>'Engagement Summary'!I182</f>
        <v>-2.3937045570150504E-3</v>
      </c>
      <c r="B182">
        <f>'Engagement Summary'!J182</f>
        <v>-160</v>
      </c>
    </row>
    <row r="183" spans="1:2" x14ac:dyDescent="0.3">
      <c r="A183" s="23">
        <f>'Engagement Summary'!I183</f>
        <v>-2.4688919612877742E-3</v>
      </c>
      <c r="B183">
        <f>'Engagement Summary'!J183</f>
        <v>-175</v>
      </c>
    </row>
    <row r="184" spans="1:2" x14ac:dyDescent="0.3">
      <c r="A184" s="23">
        <f>'Engagement Summary'!I184</f>
        <v>3.7204992488803405E-4</v>
      </c>
      <c r="B184">
        <f>'Engagement Summary'!J184</f>
        <v>53</v>
      </c>
    </row>
    <row r="185" spans="1:2" x14ac:dyDescent="0.3">
      <c r="A185" s="23">
        <f>'Engagement Summary'!I185</f>
        <v>3.9254967783854025E-4</v>
      </c>
      <c r="B185">
        <f>'Engagement Summary'!J185</f>
        <v>145</v>
      </c>
    </row>
    <row r="186" spans="1:2" x14ac:dyDescent="0.3">
      <c r="A186" s="23">
        <f>'Engagement Summary'!I186</f>
        <v>9.6729174353133666E-3</v>
      </c>
      <c r="B186">
        <f>'Engagement Summary'!J186</f>
        <v>603</v>
      </c>
    </row>
    <row r="187" spans="1:2" x14ac:dyDescent="0.3">
      <c r="A187" s="23">
        <f>'Engagement Summary'!I187</f>
        <v>2.7767665682619565E-3</v>
      </c>
      <c r="B187">
        <f>'Engagement Summary'!J187</f>
        <v>1045</v>
      </c>
    </row>
    <row r="188" spans="1:2" x14ac:dyDescent="0.3">
      <c r="A188" s="23">
        <f>'Engagement Summary'!I188</f>
        <v>2.2786497424135072E-3</v>
      </c>
      <c r="B188">
        <f>'Engagement Summary'!J188</f>
        <v>759</v>
      </c>
    </row>
    <row r="189" spans="1:2" x14ac:dyDescent="0.3">
      <c r="A189" s="23">
        <f>'Engagement Summary'!I189</f>
        <v>6.0633064141836068E-3</v>
      </c>
      <c r="B189">
        <f>'Engagement Summary'!J189</f>
        <v>1633</v>
      </c>
    </row>
    <row r="190" spans="1:2" x14ac:dyDescent="0.3">
      <c r="A190" s="23">
        <f>'Engagement Summary'!I190</f>
        <v>3.4630573463394878E-3</v>
      </c>
      <c r="B190">
        <f>'Engagement Summary'!J190</f>
        <v>1539</v>
      </c>
    </row>
    <row r="191" spans="1:2" x14ac:dyDescent="0.3">
      <c r="A191" s="23">
        <f>'Engagement Summary'!I191</f>
        <v>2.0189235082027123E-3</v>
      </c>
      <c r="B191">
        <f>'Engagement Summary'!J191</f>
        <v>453</v>
      </c>
    </row>
    <row r="192" spans="1:2" x14ac:dyDescent="0.3">
      <c r="A192" s="23">
        <f>'Engagement Summary'!I192</f>
        <v>1.9492496005888871E-3</v>
      </c>
      <c r="B192">
        <f>'Engagement Summary'!J192</f>
        <v>948</v>
      </c>
    </row>
    <row r="193" spans="1:2" x14ac:dyDescent="0.3">
      <c r="A193" s="23">
        <f>'Engagement Summary'!I193</f>
        <v>5.8992406001111317E-2</v>
      </c>
      <c r="B193">
        <f>'Engagement Summary'!J193</f>
        <v>637</v>
      </c>
    </row>
    <row r="194" spans="1:2" x14ac:dyDescent="0.3">
      <c r="A194" s="23">
        <f>'Engagement Summary'!I194</f>
        <v>4.2172902172767646E-3</v>
      </c>
      <c r="B194">
        <f>'Engagement Summary'!J194</f>
        <v>1881</v>
      </c>
    </row>
    <row r="195" spans="1:2" x14ac:dyDescent="0.3">
      <c r="A195" s="23">
        <f>'Engagement Summary'!I195</f>
        <v>8.1031272334393834E-4</v>
      </c>
      <c r="B195">
        <f>'Engagement Summary'!J195</f>
        <v>339</v>
      </c>
    </row>
    <row r="196" spans="1:2" x14ac:dyDescent="0.3">
      <c r="A196" s="23">
        <f>'Engagement Summary'!I196</f>
        <v>3.1272392897231877E-3</v>
      </c>
      <c r="B196">
        <f>'Engagement Summary'!J196</f>
        <v>1510</v>
      </c>
    </row>
    <row r="197" spans="1:2" x14ac:dyDescent="0.3">
      <c r="A197" s="23">
        <f>'Engagement Summary'!I197</f>
        <v>5.8531430158590371E-3</v>
      </c>
      <c r="B197">
        <f>'Engagement Summary'!J197</f>
        <v>864</v>
      </c>
    </row>
    <row r="198" spans="1:2" x14ac:dyDescent="0.3">
      <c r="A198" s="23">
        <f>'Engagement Summary'!I198</f>
        <v>3.5487361913231685E-3</v>
      </c>
      <c r="B198">
        <f>'Engagement Summary'!J198</f>
        <v>1656</v>
      </c>
    </row>
    <row r="199" spans="1:2" x14ac:dyDescent="0.3">
      <c r="A199" s="23">
        <f>'Engagement Summary'!I199</f>
        <v>1.1168646563102854E-3</v>
      </c>
      <c r="B199">
        <f>'Engagement Summary'!J199</f>
        <v>407</v>
      </c>
    </row>
    <row r="200" spans="1:2" x14ac:dyDescent="0.3">
      <c r="A200" s="23">
        <f>'Engagement Summary'!I200</f>
        <v>5.8987476673632601E-4</v>
      </c>
      <c r="B200">
        <f>'Engagement Summary'!J200</f>
        <v>269</v>
      </c>
    </row>
    <row r="201" spans="1:2" x14ac:dyDescent="0.3">
      <c r="A201" s="23">
        <f>'Engagement Summary'!I201</f>
        <v>-4.0653839194161288E-3</v>
      </c>
      <c r="B201">
        <f>'Engagement Summary'!J201</f>
        <v>-337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0509-EA6B-4A11-A255-8A4829A67455}">
  <dimension ref="A1:G17"/>
  <sheetViews>
    <sheetView workbookViewId="0">
      <selection sqref="A1:C13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9.5546875" bestFit="1" customWidth="1"/>
    <col min="5" max="5" width="14.44140625" bestFit="1" customWidth="1"/>
    <col min="6" max="6" width="17.77734375" bestFit="1" customWidth="1"/>
    <col min="7" max="7" width="20.21875" bestFit="1" customWidth="1"/>
  </cols>
  <sheetData>
    <row r="1" spans="1:7" x14ac:dyDescent="0.3">
      <c r="A1" s="25" t="s">
        <v>12</v>
      </c>
      <c r="B1" s="26" t="s">
        <v>591</v>
      </c>
      <c r="C1" s="26" t="s">
        <v>592</v>
      </c>
      <c r="D1" s="26" t="s">
        <v>593</v>
      </c>
      <c r="E1" s="26" t="s">
        <v>594</v>
      </c>
      <c r="F1" s="26" t="s">
        <v>595</v>
      </c>
      <c r="G1" s="27" t="s">
        <v>596</v>
      </c>
    </row>
    <row r="2" spans="1:7" x14ac:dyDescent="0.3">
      <c r="A2" s="28" t="s">
        <v>19</v>
      </c>
      <c r="B2" s="29">
        <v>45458</v>
      </c>
      <c r="C2" s="29">
        <v>45488</v>
      </c>
      <c r="D2" s="30" t="s">
        <v>598</v>
      </c>
      <c r="E2" s="30">
        <v>150000</v>
      </c>
      <c r="F2" s="30" t="s">
        <v>33</v>
      </c>
      <c r="G2" s="31" t="s">
        <v>37</v>
      </c>
    </row>
    <row r="3" spans="1:7" x14ac:dyDescent="0.3">
      <c r="A3" s="32" t="s">
        <v>19</v>
      </c>
      <c r="B3" s="33">
        <v>45458</v>
      </c>
      <c r="C3" s="33">
        <v>45488</v>
      </c>
      <c r="D3" s="34" t="s">
        <v>598</v>
      </c>
      <c r="E3" s="34">
        <v>150000</v>
      </c>
      <c r="F3" s="34" t="s">
        <v>43</v>
      </c>
      <c r="G3" s="35" t="s">
        <v>37</v>
      </c>
    </row>
    <row r="4" spans="1:7" x14ac:dyDescent="0.3">
      <c r="A4" s="28" t="s">
        <v>19</v>
      </c>
      <c r="B4" s="29">
        <v>45458</v>
      </c>
      <c r="C4" s="29">
        <v>45488</v>
      </c>
      <c r="D4" s="30" t="s">
        <v>598</v>
      </c>
      <c r="E4" s="30">
        <v>150000</v>
      </c>
      <c r="F4" s="30" t="s">
        <v>33</v>
      </c>
      <c r="G4" s="31" t="s">
        <v>30</v>
      </c>
    </row>
    <row r="5" spans="1:7" x14ac:dyDescent="0.3">
      <c r="A5" s="32" t="s">
        <v>19</v>
      </c>
      <c r="B5" s="33">
        <v>45458</v>
      </c>
      <c r="C5" s="33">
        <v>45488</v>
      </c>
      <c r="D5" s="34" t="s">
        <v>598</v>
      </c>
      <c r="E5" s="34">
        <v>150000</v>
      </c>
      <c r="F5" s="34" t="s">
        <v>43</v>
      </c>
      <c r="G5" s="35" t="s">
        <v>30</v>
      </c>
    </row>
    <row r="6" spans="1:7" x14ac:dyDescent="0.3">
      <c r="A6" s="28" t="s">
        <v>25</v>
      </c>
      <c r="B6" s="29">
        <v>45566</v>
      </c>
      <c r="C6" s="29">
        <v>45596</v>
      </c>
      <c r="D6" s="30" t="s">
        <v>601</v>
      </c>
      <c r="E6" s="30">
        <v>200000</v>
      </c>
      <c r="F6" s="30" t="s">
        <v>33</v>
      </c>
      <c r="G6" s="31" t="s">
        <v>625</v>
      </c>
    </row>
    <row r="7" spans="1:7" x14ac:dyDescent="0.3">
      <c r="A7" s="32" t="s">
        <v>25</v>
      </c>
      <c r="B7" s="33">
        <v>45566</v>
      </c>
      <c r="C7" s="33">
        <v>45596</v>
      </c>
      <c r="D7" s="34" t="s">
        <v>601</v>
      </c>
      <c r="E7" s="34">
        <v>200000</v>
      </c>
      <c r="F7" s="34" t="s">
        <v>27</v>
      </c>
      <c r="G7" s="35" t="s">
        <v>625</v>
      </c>
    </row>
    <row r="8" spans="1:7" x14ac:dyDescent="0.3">
      <c r="A8" s="28" t="s">
        <v>31</v>
      </c>
      <c r="B8" s="29">
        <v>45651</v>
      </c>
      <c r="C8" s="29">
        <v>45667</v>
      </c>
      <c r="D8" s="30" t="s">
        <v>605</v>
      </c>
      <c r="E8" s="30">
        <v>250000</v>
      </c>
      <c r="F8" s="30" t="s">
        <v>43</v>
      </c>
      <c r="G8" s="31" t="s">
        <v>607</v>
      </c>
    </row>
    <row r="9" spans="1:7" x14ac:dyDescent="0.3">
      <c r="A9" s="32" t="s">
        <v>31</v>
      </c>
      <c r="B9" s="33">
        <v>45651</v>
      </c>
      <c r="C9" s="33">
        <v>45667</v>
      </c>
      <c r="D9" s="34" t="s">
        <v>605</v>
      </c>
      <c r="E9" s="34">
        <v>250000</v>
      </c>
      <c r="F9" s="34" t="s">
        <v>14</v>
      </c>
      <c r="G9" s="35" t="s">
        <v>607</v>
      </c>
    </row>
    <row r="10" spans="1:7" x14ac:dyDescent="0.3">
      <c r="A10" s="28" t="s">
        <v>38</v>
      </c>
      <c r="B10" s="29">
        <v>45717</v>
      </c>
      <c r="C10" s="29">
        <v>45747</v>
      </c>
      <c r="D10" s="30" t="s">
        <v>609</v>
      </c>
      <c r="E10" s="30">
        <v>180000</v>
      </c>
      <c r="F10" s="30" t="s">
        <v>33</v>
      </c>
      <c r="G10" s="31" t="s">
        <v>626</v>
      </c>
    </row>
    <row r="11" spans="1:7" x14ac:dyDescent="0.3">
      <c r="A11" s="32" t="s">
        <v>38</v>
      </c>
      <c r="B11" s="33">
        <v>45717</v>
      </c>
      <c r="C11" s="33">
        <v>45747</v>
      </c>
      <c r="D11" s="34" t="s">
        <v>609</v>
      </c>
      <c r="E11" s="34">
        <v>180000</v>
      </c>
      <c r="F11" s="34" t="s">
        <v>14</v>
      </c>
      <c r="G11" s="35" t="s">
        <v>626</v>
      </c>
    </row>
    <row r="12" spans="1:7" x14ac:dyDescent="0.3">
      <c r="A12" s="28" t="s">
        <v>38</v>
      </c>
      <c r="B12" s="29">
        <v>45717</v>
      </c>
      <c r="C12" s="29">
        <v>45747</v>
      </c>
      <c r="D12" s="30" t="s">
        <v>609</v>
      </c>
      <c r="E12" s="30">
        <v>180000</v>
      </c>
      <c r="F12" s="30" t="s">
        <v>33</v>
      </c>
      <c r="G12" s="31" t="s">
        <v>62</v>
      </c>
    </row>
    <row r="13" spans="1:7" x14ac:dyDescent="0.3">
      <c r="A13" s="36" t="s">
        <v>38</v>
      </c>
      <c r="B13" s="37">
        <v>45717</v>
      </c>
      <c r="C13" s="37">
        <v>45747</v>
      </c>
      <c r="D13" s="38" t="s">
        <v>609</v>
      </c>
      <c r="E13" s="38">
        <v>180000</v>
      </c>
      <c r="F13" s="38" t="s">
        <v>14</v>
      </c>
      <c r="G13" s="39" t="s">
        <v>62</v>
      </c>
    </row>
    <row r="17" spans="6:6" x14ac:dyDescent="0.3">
      <c r="F17" s="4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8" sqref="F8"/>
    </sheetView>
  </sheetViews>
  <sheetFormatPr defaultColWidth="14.44140625" defaultRowHeight="15" customHeight="1" x14ac:dyDescent="0.3"/>
  <cols>
    <col min="1" max="1" width="17.5546875" customWidth="1"/>
    <col min="2" max="2" width="16.44140625" customWidth="1"/>
    <col min="3" max="3" width="8.6640625" customWidth="1"/>
    <col min="4" max="4" width="16.109375" customWidth="1"/>
    <col min="5" max="5" width="22.5546875" customWidth="1"/>
    <col min="6" max="6" width="26.33203125" customWidth="1"/>
    <col min="7" max="7" width="30.44140625" customWidth="1"/>
    <col min="8" max="26" width="8.6640625" customWidth="1"/>
  </cols>
  <sheetData>
    <row r="1" spans="1:7" ht="14.4" x14ac:dyDescent="0.3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 x14ac:dyDescent="0.3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 x14ac:dyDescent="0.3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 x14ac:dyDescent="0.3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 x14ac:dyDescent="0.3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7FF85-B5DC-46D8-BAC7-7485E04629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Frequently Used Hashtags</vt:lpstr>
      <vt:lpstr>Post Performance</vt:lpstr>
      <vt:lpstr>Content Performance</vt:lpstr>
      <vt:lpstr>Engagement uplift during vs. be</vt:lpstr>
      <vt:lpstr> Conten type PrioritiesPlatform</vt:lpstr>
      <vt:lpstr>Total and Avg Like and Clicks</vt:lpstr>
      <vt:lpstr>Preprocced Data</vt:lpstr>
      <vt:lpstr>Top 10</vt:lpstr>
      <vt:lpstr>Platform and content type like</vt:lpstr>
      <vt:lpstr>Top Hashtags</vt:lpstr>
      <vt:lpstr>Highest Enggagement Rate</vt:lpstr>
      <vt:lpstr>Raw Given Data</vt:lpstr>
      <vt:lpstr>Followers Growth Rate</vt:lpstr>
      <vt:lpstr>Enggagement Rate Vs Ad.Spend</vt:lpstr>
      <vt:lpstr>Weekly follower growth per plat</vt:lpstr>
      <vt:lpstr>ad.spend Vs weekly growth</vt:lpstr>
      <vt:lpstr>Engagement Summary</vt:lpstr>
      <vt:lpstr>Sheet7</vt:lpstr>
      <vt:lpstr>Campaign Metadata (2)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jaiswal</dc:creator>
  <cp:lastModifiedBy>saumya jaiswal</cp:lastModifiedBy>
  <dcterms:created xsi:type="dcterms:W3CDTF">2025-12-14T16:24:45Z</dcterms:created>
  <dcterms:modified xsi:type="dcterms:W3CDTF">2025-12-18T08:33:01Z</dcterms:modified>
</cp:coreProperties>
</file>